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haya\Desktop\Musk2026\"/>
    </mc:Choice>
  </mc:AlternateContent>
  <xr:revisionPtr revIDLastSave="0" documentId="13_ncr:1_{D7744C79-1101-4B31-95DC-2D1C7B70C865}" xr6:coauthVersionLast="36" xr6:coauthVersionMax="47" xr10:uidLastSave="{00000000-0000-0000-0000-000000000000}"/>
  <bookViews>
    <workbookView xWindow="0" yWindow="0" windowWidth="23040" windowHeight="8436" xr2:uid="{AD012FF1-706A-4FA9-82F8-4F4613D72EB8}"/>
  </bookViews>
  <sheets>
    <sheet name="Summary" sheetId="6" r:id="rId1"/>
    <sheet name="Master Gifting" sheetId="3" r:id="rId2"/>
    <sheet name="Sheet1" sheetId="7" r:id="rId3"/>
    <sheet name="Item Master" sheetId="4" r:id="rId4"/>
  </sheets>
  <definedNames>
    <definedName name="_xlnm._FilterDatabase" localSheetId="1" hidden="1">'Master Gifting'!$A$1:$F$145</definedName>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45" i="3" l="1"/>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alcChain>
</file>

<file path=xl/sharedStrings.xml><?xml version="1.0" encoding="utf-8"?>
<sst xmlns="http://schemas.openxmlformats.org/spreadsheetml/2006/main" count="532" uniqueCount="87">
  <si>
    <t>د.فراس المدني</t>
  </si>
  <si>
    <t>د.فارس السهلي</t>
  </si>
  <si>
    <t>عبدالعزيز بن زينه</t>
  </si>
  <si>
    <t>تهاني الموسى</t>
  </si>
  <si>
    <t>وجدان الصبار</t>
  </si>
  <si>
    <t>شيرين وجنى</t>
  </si>
  <si>
    <t xml:space="preserve">فراس المصور </t>
  </si>
  <si>
    <t>هند السند</t>
  </si>
  <si>
    <t>ابوي</t>
  </si>
  <si>
    <t>امي</t>
  </si>
  <si>
    <t>اخواني واصدقائهم</t>
  </si>
  <si>
    <t>هيا زوجة احمد</t>
  </si>
  <si>
    <t>مهنا المهنا</t>
  </si>
  <si>
    <t>محمد عبداللطيف</t>
  </si>
  <si>
    <t>رهيس-سالم-عاطف</t>
  </si>
  <si>
    <t>ولاء الحميد-مشهورة</t>
  </si>
  <si>
    <t>شروق-مشهورة</t>
  </si>
  <si>
    <t>الريم-مشهورة</t>
  </si>
  <si>
    <t>هارفي نيكيلز-هديه</t>
  </si>
  <si>
    <t>ناصر العوجان</t>
  </si>
  <si>
    <t>مفيد النويصر</t>
  </si>
  <si>
    <t>إبراهيم القاسمي</t>
  </si>
  <si>
    <t>مشعل الرشود</t>
  </si>
  <si>
    <t>سلطان الشعيبي</t>
  </si>
  <si>
    <t xml:space="preserve">حنان أبا الخيل </t>
  </si>
  <si>
    <t xml:space="preserve">امنه بافارع </t>
  </si>
  <si>
    <t xml:space="preserve">تعويض عملاء </t>
  </si>
  <si>
    <t>ROYAL JASMINE EXTRAIT DE PARFUM  50ML</t>
  </si>
  <si>
    <t>ROYAL MUSK EXTRAIT DE PARFUM  50ML</t>
  </si>
  <si>
    <t>ROYAL OUD PARFUME 50ML</t>
  </si>
  <si>
    <t>LADY LULU EXTRAIT DE PARFUM  50ML</t>
  </si>
  <si>
    <t>EVORA PARFUME 50ML</t>
  </si>
  <si>
    <t>SOLENNE EXTRAIT DE PARFUM  50ML</t>
  </si>
  <si>
    <t>LUMISK HAIR MUST 35ML</t>
  </si>
  <si>
    <t>LUNÉRA HAIR MUST  35ML</t>
  </si>
  <si>
    <t>PEACH MOSS HAIR MUST 35ML</t>
  </si>
  <si>
    <t>Ref</t>
  </si>
  <si>
    <t>Description</t>
  </si>
  <si>
    <t>Name</t>
  </si>
  <si>
    <t>Quantity</t>
  </si>
  <si>
    <t>Perfumes</t>
  </si>
  <si>
    <t>Barcode</t>
  </si>
  <si>
    <t>RETAIL PRICE EX VAT</t>
  </si>
  <si>
    <t>RSP With VAT</t>
  </si>
  <si>
    <t>Sum of Quantity</t>
  </si>
  <si>
    <t>Cost</t>
  </si>
  <si>
    <t>Category</t>
  </si>
  <si>
    <t>VIP</t>
  </si>
  <si>
    <t>Marketing</t>
  </si>
  <si>
    <t>Damage</t>
  </si>
  <si>
    <t>Values</t>
  </si>
  <si>
    <t>Sum of Cost</t>
  </si>
  <si>
    <t>Sample</t>
  </si>
  <si>
    <t>فهد بن خالد</t>
  </si>
  <si>
    <t>فهد بن بندر</t>
  </si>
  <si>
    <t>علي اليامي</t>
  </si>
  <si>
    <t>متعب السبيت</t>
  </si>
  <si>
    <t>مها اليوسف</t>
  </si>
  <si>
    <t>الاء اليوسف</t>
  </si>
  <si>
    <t>بدور اليوسف</t>
  </si>
  <si>
    <t>بندر اليوسف</t>
  </si>
  <si>
    <t>ثامر الوابلي</t>
  </si>
  <si>
    <t>روان اليوسف</t>
  </si>
  <si>
    <t>ملاك اليوسف</t>
  </si>
  <si>
    <t>نجلاء اليوسف</t>
  </si>
  <si>
    <t>Comment</t>
  </si>
  <si>
    <t>تدشين الموقع الالكتروني</t>
  </si>
  <si>
    <t>هدايا عيد الفطر 2026</t>
  </si>
  <si>
    <t>دلال المقبل</t>
  </si>
  <si>
    <t xml:space="preserve"> لاروميوس</t>
  </si>
  <si>
    <t xml:space="preserve"> الفورسيزون </t>
  </si>
  <si>
    <t xml:space="preserve">جلو هاوس </t>
  </si>
  <si>
    <t>الاصناف الجديدة 2026</t>
  </si>
  <si>
    <t>مواد عرض</t>
  </si>
  <si>
    <t>Tester</t>
  </si>
  <si>
    <t>تعويض عميل الموقع الالكتروني</t>
  </si>
  <si>
    <t>بابيون</t>
  </si>
  <si>
    <t>رضوان كنفش</t>
  </si>
  <si>
    <t>معاذ خواجي مشهور</t>
  </si>
  <si>
    <t>بكري حداد</t>
  </si>
  <si>
    <t>يوسف البكيري مشهور</t>
  </si>
  <si>
    <t>فيصل المالكي مشهور</t>
  </si>
  <si>
    <t>تدشين جلو هاوس 2026</t>
  </si>
  <si>
    <t>تدشين بابيون 2026</t>
  </si>
  <si>
    <t>الإجمالي الكلي</t>
  </si>
  <si>
    <t>SOLENN EXTRAIT DE PARFUM  50ML</t>
  </si>
  <si>
    <t>تعويض عملاء  الإجمالي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</si>
</sst>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SAR]\ #,##0.00"/>
  </numFmts>
  <fonts count="13">
    <font>
      <sz val="11"/>
      <color theme="1"/>
      <name val="Arial"/>
      <family val="2"/>
      <charset val="178"/>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theme="1"/>
      <name val="Aril"/>
    </font>
    <font>
      <b/>
      <sz val="10"/>
      <name val="Aril"/>
    </font>
    <font>
      <sz val="10"/>
      <color indexed="8"/>
      <name val="Aril"/>
    </font>
    <font>
      <b/>
      <sz val="11"/>
      <color theme="1"/>
      <name val="Arial"/>
      <family val="2"/>
      <scheme val="minor"/>
    </font>
    <font>
      <b/>
      <sz val="11"/>
      <color theme="1"/>
      <name val="Arial"/>
      <family val="2"/>
      <charset val="178"/>
      <scheme val="minor"/>
    </font>
    <font>
      <b/>
      <sz val="10"/>
      <color theme="1"/>
      <name val="Aril"/>
    </font>
    <font>
      <sz val="11"/>
      <color theme="0"/>
      <name val="Times New Roman"/>
      <family val="1"/>
      <scheme val="major"/>
    </font>
    <font>
      <sz val="11"/>
      <color theme="1"/>
      <name val="Times New Roman"/>
      <family val="1"/>
      <scheme val="major"/>
    </font>
  </fonts>
  <fills count="6">
    <fill>
      <patternFill patternType="none"/>
    </fill>
    <fill>
      <patternFill patternType="gray125"/>
    </fill>
    <fill>
      <patternFill patternType="solid">
        <fgColor indexed="9"/>
        <bgColor auto="1"/>
      </patternFill>
    </fill>
    <fill>
      <patternFill patternType="solid">
        <fgColor theme="6" tint="0.59999389629810485"/>
        <bgColor indexed="64"/>
      </patternFill>
    </fill>
    <fill>
      <patternFill patternType="solid">
        <fgColor theme="2" tint="-0.499984740745262"/>
        <bgColor indexed="64"/>
      </patternFill>
    </fill>
    <fill>
      <patternFill patternType="solid">
        <fgColor theme="2"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11"/>
      </right>
      <top/>
      <bottom/>
      <diagonal/>
    </border>
    <border>
      <left style="thin">
        <color indexed="10"/>
      </left>
      <right/>
      <top/>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0" fillId="0" borderId="1" xfId="0" applyBorder="1"/>
    <xf numFmtId="49" fontId="5" fillId="2" borderId="1" xfId="0" applyNumberFormat="1" applyFont="1" applyFill="1" applyBorder="1" applyAlignment="1">
      <alignment vertical="center"/>
    </xf>
    <xf numFmtId="0" fontId="4" fillId="0" borderId="1" xfId="0" applyFont="1" applyBorder="1"/>
    <xf numFmtId="1" fontId="4" fillId="0" borderId="1" xfId="0" applyNumberFormat="1" applyFont="1" applyBorder="1"/>
    <xf numFmtId="0" fontId="5" fillId="0" borderId="0" xfId="0" applyFont="1"/>
    <xf numFmtId="0" fontId="5" fillId="2" borderId="0" xfId="0" applyFont="1" applyFill="1" applyAlignment="1">
      <alignment vertical="center"/>
    </xf>
    <xf numFmtId="0" fontId="5" fillId="2" borderId="2" xfId="0" applyFont="1" applyFill="1" applyBorder="1" applyAlignment="1">
      <alignment vertical="center"/>
    </xf>
    <xf numFmtId="49" fontId="6" fillId="3" borderId="1" xfId="0" applyNumberFormat="1" applyFont="1" applyFill="1" applyBorder="1" applyAlignment="1">
      <alignment vertical="center"/>
    </xf>
    <xf numFmtId="49" fontId="6" fillId="3" borderId="1" xfId="0" applyNumberFormat="1" applyFont="1" applyFill="1" applyBorder="1" applyAlignment="1">
      <alignment horizontal="center" vertical="center"/>
    </xf>
    <xf numFmtId="164" fontId="6" fillId="3" borderId="1" xfId="0" applyNumberFormat="1" applyFont="1" applyFill="1" applyBorder="1" applyAlignment="1">
      <alignment horizontal="center" vertical="center"/>
    </xf>
    <xf numFmtId="0" fontId="5" fillId="2" borderId="0" xfId="0" applyFont="1" applyFill="1" applyAlignment="1">
      <alignment horizontal="center" vertical="center"/>
    </xf>
    <xf numFmtId="0" fontId="5" fillId="2" borderId="2" xfId="0" applyFont="1" applyFill="1" applyBorder="1" applyAlignment="1">
      <alignment horizontal="center" vertical="center"/>
    </xf>
    <xf numFmtId="0" fontId="5" fillId="0" borderId="0" xfId="0" applyFont="1" applyAlignment="1">
      <alignment horizontal="center"/>
    </xf>
    <xf numFmtId="1" fontId="5" fillId="2" borderId="1" xfId="0" applyNumberFormat="1" applyFont="1" applyFill="1" applyBorder="1" applyAlignment="1">
      <alignment vertical="center"/>
    </xf>
    <xf numFmtId="164" fontId="7" fillId="2" borderId="1" xfId="0" applyNumberFormat="1" applyFont="1" applyFill="1" applyBorder="1" applyAlignment="1">
      <alignment horizontal="center" vertical="center"/>
    </xf>
    <xf numFmtId="0" fontId="5" fillId="2" borderId="3" xfId="0" applyFont="1" applyFill="1" applyBorder="1" applyAlignment="1">
      <alignment vertical="center"/>
    </xf>
    <xf numFmtId="0" fontId="7" fillId="2" borderId="0" xfId="0" applyFont="1" applyFill="1" applyAlignment="1">
      <alignment horizontal="center" vertical="center"/>
    </xf>
    <xf numFmtId="0" fontId="0" fillId="0" borderId="0" xfId="0" applyAlignment="1">
      <alignment horizontal="center"/>
    </xf>
    <xf numFmtId="0" fontId="0" fillId="0" borderId="1" xfId="0" applyBorder="1" applyAlignment="1">
      <alignment horizontal="center"/>
    </xf>
    <xf numFmtId="0" fontId="0" fillId="0" borderId="4" xfId="0" applyBorder="1"/>
    <xf numFmtId="3" fontId="0" fillId="0" borderId="1" xfId="0" applyNumberFormat="1" applyBorder="1"/>
    <xf numFmtId="0" fontId="3" fillId="0" borderId="1" xfId="0" applyFont="1" applyBorder="1"/>
    <xf numFmtId="3" fontId="0" fillId="0" borderId="1" xfId="0" applyNumberFormat="1" applyBorder="1" applyAlignment="1">
      <alignment horizontal="center"/>
    </xf>
    <xf numFmtId="0" fontId="2" fillId="0" borderId="1" xfId="0" applyFont="1" applyBorder="1"/>
    <xf numFmtId="0" fontId="1" fillId="0" borderId="1" xfId="0" applyFont="1" applyBorder="1"/>
    <xf numFmtId="0" fontId="8" fillId="0" borderId="1" xfId="0" applyFont="1" applyBorder="1" applyAlignment="1">
      <alignment horizontal="center" vertical="center"/>
    </xf>
    <xf numFmtId="0" fontId="8" fillId="0" borderId="1" xfId="0" applyFont="1" applyFill="1" applyBorder="1" applyAlignment="1">
      <alignment horizontal="center" vertical="center"/>
    </xf>
    <xf numFmtId="0" fontId="9" fillId="0" borderId="0" xfId="0" applyFont="1"/>
    <xf numFmtId="49" fontId="10" fillId="2" borderId="1" xfId="0" applyNumberFormat="1" applyFont="1" applyFill="1" applyBorder="1" applyAlignment="1">
      <alignment horizontal="center" vertical="center"/>
    </xf>
    <xf numFmtId="0" fontId="0" fillId="0" borderId="4" xfId="0" applyBorder="1" applyAlignment="1">
      <alignment horizontal="center"/>
    </xf>
    <xf numFmtId="0" fontId="11" fillId="4" borderId="1" xfId="0" applyFont="1" applyFill="1" applyBorder="1"/>
    <xf numFmtId="0" fontId="11" fillId="4" borderId="1" xfId="0" applyFont="1" applyFill="1" applyBorder="1" applyAlignment="1">
      <alignment horizontal="center"/>
    </xf>
    <xf numFmtId="0" fontId="12" fillId="0" borderId="1" xfId="0" applyFont="1" applyBorder="1"/>
    <xf numFmtId="0" fontId="12" fillId="0" borderId="1" xfId="0" applyNumberFormat="1" applyFont="1" applyBorder="1" applyAlignment="1">
      <alignment horizontal="center"/>
    </xf>
    <xf numFmtId="3" fontId="12" fillId="0" borderId="1" xfId="0" applyNumberFormat="1" applyFont="1" applyBorder="1" applyAlignment="1">
      <alignment horizontal="center"/>
    </xf>
    <xf numFmtId="0" fontId="11" fillId="4" borderId="1" xfId="0" applyNumberFormat="1" applyFont="1" applyFill="1" applyBorder="1" applyAlignment="1">
      <alignment horizontal="center"/>
    </xf>
    <xf numFmtId="3" fontId="11" fillId="4" borderId="1" xfId="0" applyNumberFormat="1" applyFont="1" applyFill="1" applyBorder="1" applyAlignment="1">
      <alignment horizontal="center"/>
    </xf>
    <xf numFmtId="0" fontId="12" fillId="5" borderId="1" xfId="0" applyFont="1" applyFill="1" applyBorder="1"/>
    <xf numFmtId="0" fontId="12" fillId="5" borderId="1" xfId="0" applyNumberFormat="1" applyFont="1" applyFill="1" applyBorder="1" applyAlignment="1">
      <alignment horizontal="center"/>
    </xf>
    <xf numFmtId="3" fontId="12" fillId="5" borderId="1" xfId="0" applyNumberFormat="1" applyFont="1" applyFill="1" applyBorder="1" applyAlignment="1">
      <alignment horizontal="center"/>
    </xf>
  </cellXfs>
  <cellStyles count="1">
    <cellStyle name="عادي" xfId="0" builtinId="0"/>
  </cellStyles>
  <dxfs count="1080">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fill>
        <patternFill patternType="solid">
          <bgColor theme="4" tint="0.59999389629810485"/>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ont>
        <color theme="0"/>
      </font>
    </dxf>
    <dxf>
      <font>
        <color theme="0"/>
      </font>
    </dxf>
    <dxf>
      <font>
        <color theme="0"/>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ill>
        <patternFill>
          <bgColor theme="2" tint="-0.499984740745262"/>
        </patternFill>
      </fill>
    </dxf>
    <dxf>
      <fill>
        <patternFill>
          <bgColor theme="2" tint="-0.499984740745262"/>
        </patternFill>
      </fill>
    </dxf>
    <dxf>
      <font>
        <color theme="0"/>
      </font>
    </dxf>
    <dxf>
      <font>
        <color theme="0"/>
      </font>
    </dxf>
    <dxf>
      <fill>
        <patternFill>
          <bgColor theme="2" tint="-0.249977111117893"/>
        </patternFill>
      </fill>
    </dxf>
    <dxf>
      <fill>
        <patternFill>
          <bgColor theme="2" tint="-0.249977111117893"/>
        </patternFill>
      </fill>
    </dxf>
    <dxf>
      <font>
        <color theme="1"/>
      </font>
    </dxf>
    <dxf>
      <font>
        <color theme="1"/>
      </font>
    </dxf>
    <dxf>
      <fill>
        <patternFill>
          <bgColor theme="2" tint="-0.249977111117893"/>
        </patternFill>
      </fill>
    </dxf>
    <dxf>
      <fill>
        <patternFill patternType="solid">
          <bgColor theme="2" tint="-0.499984740745262"/>
        </patternFill>
      </fill>
    </dxf>
    <dxf>
      <font>
        <color theme="0"/>
      </fon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fill>
        <patternFill patternType="solid">
          <bgColor theme="4" tint="0.59999389629810485"/>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ont>
        <color theme="0"/>
      </font>
    </dxf>
    <dxf>
      <font>
        <color theme="0"/>
      </font>
    </dxf>
    <dxf>
      <font>
        <color theme="0"/>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ill>
        <patternFill>
          <bgColor theme="2" tint="-0.499984740745262"/>
        </patternFill>
      </fill>
    </dxf>
    <dxf>
      <fill>
        <patternFill>
          <bgColor theme="2" tint="-0.499984740745262"/>
        </patternFill>
      </fill>
    </dxf>
    <dxf>
      <font>
        <color theme="0"/>
      </font>
    </dxf>
    <dxf>
      <font>
        <color theme="0"/>
      </font>
    </dxf>
    <dxf>
      <fill>
        <patternFill>
          <bgColor theme="2" tint="-0.249977111117893"/>
        </patternFill>
      </fill>
    </dxf>
    <dxf>
      <fill>
        <patternFill>
          <bgColor theme="2" tint="-0.249977111117893"/>
        </patternFill>
      </fill>
    </dxf>
    <dxf>
      <font>
        <color theme="1"/>
      </font>
    </dxf>
    <dxf>
      <font>
        <color theme="1"/>
      </font>
    </dxf>
    <dxf>
      <fill>
        <patternFill>
          <bgColor theme="2" tint="-0.249977111117893"/>
        </patternFill>
      </fill>
    </dxf>
    <dxf>
      <fill>
        <patternFill patternType="solid">
          <bgColor theme="2" tint="-0.499984740745262"/>
        </patternFill>
      </fill>
    </dxf>
    <dxf>
      <font>
        <color theme="0"/>
      </fon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fill>
        <patternFill patternType="solid">
          <bgColor theme="4" tint="0.59999389629810485"/>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ont>
        <color theme="0"/>
      </font>
    </dxf>
    <dxf>
      <font>
        <color theme="0"/>
      </font>
    </dxf>
    <dxf>
      <font>
        <color theme="0"/>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ill>
        <patternFill>
          <bgColor theme="2" tint="-0.499984740745262"/>
        </patternFill>
      </fill>
    </dxf>
    <dxf>
      <fill>
        <patternFill>
          <bgColor theme="2" tint="-0.499984740745262"/>
        </patternFill>
      </fill>
    </dxf>
    <dxf>
      <font>
        <color theme="0"/>
      </font>
    </dxf>
    <dxf>
      <font>
        <color theme="0"/>
      </font>
    </dxf>
    <dxf>
      <fill>
        <patternFill>
          <bgColor theme="2" tint="-0.249977111117893"/>
        </patternFill>
      </fill>
    </dxf>
    <dxf>
      <fill>
        <patternFill>
          <bgColor theme="2" tint="-0.249977111117893"/>
        </patternFill>
      </fill>
    </dxf>
    <dxf>
      <font>
        <color theme="1"/>
      </font>
    </dxf>
    <dxf>
      <font>
        <color theme="1"/>
      </font>
    </dxf>
    <dxf>
      <fill>
        <patternFill>
          <bgColor theme="2" tint="-0.249977111117893"/>
        </patternFill>
      </fill>
    </dxf>
    <dxf>
      <fill>
        <patternFill patternType="solid">
          <bgColor theme="2" tint="-0.499984740745262"/>
        </patternFill>
      </fill>
    </dxf>
    <dxf>
      <font>
        <color theme="0"/>
      </fon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fill>
        <patternFill patternType="solid">
          <bgColor theme="4" tint="0.59999389629810485"/>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ont>
        <color theme="0"/>
      </font>
    </dxf>
    <dxf>
      <font>
        <color theme="0"/>
      </font>
    </dxf>
    <dxf>
      <font>
        <color theme="0"/>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ill>
        <patternFill>
          <bgColor theme="2" tint="-0.499984740745262"/>
        </patternFill>
      </fill>
    </dxf>
    <dxf>
      <fill>
        <patternFill>
          <bgColor theme="2" tint="-0.499984740745262"/>
        </patternFill>
      </fill>
    </dxf>
    <dxf>
      <font>
        <color theme="0"/>
      </font>
    </dxf>
    <dxf>
      <font>
        <color theme="0"/>
      </font>
    </dxf>
    <dxf>
      <fill>
        <patternFill>
          <bgColor theme="2" tint="-0.249977111117893"/>
        </patternFill>
      </fill>
    </dxf>
    <dxf>
      <fill>
        <patternFill>
          <bgColor theme="2" tint="-0.249977111117893"/>
        </patternFill>
      </fill>
    </dxf>
    <dxf>
      <font>
        <color theme="1"/>
      </font>
    </dxf>
    <dxf>
      <font>
        <color theme="1"/>
      </font>
    </dxf>
    <dxf>
      <fill>
        <patternFill>
          <bgColor theme="2" tint="-0.249977111117893"/>
        </patternFill>
      </fill>
    </dxf>
    <dxf>
      <fill>
        <patternFill patternType="solid">
          <bgColor theme="2" tint="-0.499984740745262"/>
        </patternFill>
      </fill>
    </dxf>
    <dxf>
      <font>
        <color theme="0"/>
      </font>
    </dxf>
    <dxf>
      <alignment horizontal="center"/>
    </dxf>
    <dxf>
      <alignment horizontal="center"/>
    </dxf>
    <dxf>
      <font>
        <color theme="0"/>
      </font>
    </dxf>
    <dxf>
      <fill>
        <patternFill patternType="solid">
          <bgColor theme="2" tint="-0.499984740745262"/>
        </patternFill>
      </fill>
    </dxf>
    <dxf>
      <fill>
        <patternFill>
          <bgColor theme="2" tint="-0.249977111117893"/>
        </patternFill>
      </fill>
    </dxf>
    <dxf>
      <font>
        <color theme="1"/>
      </font>
    </dxf>
    <dxf>
      <font>
        <color theme="1"/>
      </font>
    </dxf>
    <dxf>
      <fill>
        <patternFill>
          <bgColor theme="2" tint="-0.249977111117893"/>
        </patternFill>
      </fill>
    </dxf>
    <dxf>
      <fill>
        <patternFill>
          <bgColor theme="2" tint="-0.249977111117893"/>
        </patternFill>
      </fill>
    </dxf>
    <dxf>
      <font>
        <color theme="0"/>
      </font>
    </dxf>
    <dxf>
      <font>
        <color theme="0"/>
      </font>
    </dxf>
    <dxf>
      <fill>
        <patternFill>
          <bgColor theme="2" tint="-0.499984740745262"/>
        </patternFill>
      </fill>
    </dxf>
    <dxf>
      <fill>
        <patternFill>
          <bgColor theme="2" tint="-0.499984740745262"/>
        </patternFill>
      </fill>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name val="Times New Roman"/>
        <family val="1"/>
        <scheme val="major"/>
      </font>
    </dxf>
    <dxf>
      <font>
        <color theme="0"/>
      </font>
    </dxf>
    <dxf>
      <font>
        <color theme="0"/>
      </font>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4" tint="0.59999389629810485"/>
        </patternFill>
      </fill>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23812</xdr:colOff>
      <xdr:row>2</xdr:row>
      <xdr:rowOff>104775</xdr:rowOff>
    </xdr:from>
    <xdr:to>
      <xdr:col>8</xdr:col>
      <xdr:colOff>557212</xdr:colOff>
      <xdr:row>16</xdr:row>
      <xdr:rowOff>95250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C1FC3B0A-F764-4DE5-BE4A-899A4CF952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21992" y="958215"/>
              <a:ext cx="1874520" cy="2444115"/>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0</xdr:col>
      <xdr:colOff>0</xdr:colOff>
      <xdr:row>0</xdr:row>
      <xdr:rowOff>129541</xdr:rowOff>
    </xdr:from>
    <xdr:to>
      <xdr:col>1</xdr:col>
      <xdr:colOff>815340</xdr:colOff>
      <xdr:row>1</xdr:row>
      <xdr:rowOff>510184</xdr:rowOff>
    </xdr:to>
    <xdr:pic>
      <xdr:nvPicPr>
        <xdr:cNvPr id="4" name="صورة 3">
          <a:extLst>
            <a:ext uri="{FF2B5EF4-FFF2-40B4-BE49-F238E27FC236}">
              <a16:creationId xmlns:a16="http://schemas.microsoft.com/office/drawing/2014/main" id="{3859D46B-B6C8-4504-8D60-9377049918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9541"/>
          <a:ext cx="2346960" cy="55590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dwan" refreshedDate="46111.494071180554" createdVersion="7" refreshedVersion="7" minRefreshableVersion="3" recordCount="145" xr:uid="{4382C61F-EF85-4912-94AE-E2DD68ADB016}">
  <cacheSource type="worksheet">
    <worksheetSource ref="A1:G1048576" sheet="Master Gifting"/>
  </cacheSource>
  <cacheFields count="7">
    <cacheField name="Name" numFmtId="0">
      <sharedItems containsBlank="1" count="62">
        <s v="فراس المصور "/>
        <s v="محمد عبداللطيف"/>
        <s v="جلو هاوس "/>
        <s v=" لاروميوس"/>
        <s v="تعويض عملاء "/>
        <s v=" الفورسيزون "/>
        <s v="د.فراس المدني"/>
        <s v="د.فارس السهلي"/>
        <s v="عبدالعزيز بن زينه"/>
        <s v="هند السند"/>
        <s v="نجلاء اليوسف"/>
        <s v="مهنا المهنا"/>
        <s v="شروق-مشهورة"/>
        <s v="الريم-مشهورة"/>
        <s v="امنه بافارع "/>
        <s v="فهد بن خالد"/>
        <s v="فهد بن بندر"/>
        <s v="ابوي"/>
        <s v="امي"/>
        <s v="اخواني واصدقائهم"/>
        <s v="رهيس-سالم-عاطف"/>
        <s v="ثامر الوابلي"/>
        <s v="ناصر العوجان"/>
        <s v="إبراهيم القاسمي"/>
        <s v="مشعل الرشود"/>
        <s v="سلطان الشعيبي"/>
        <s v="تهاني الموسى"/>
        <s v="شيرين وجنى"/>
        <s v="هيا زوجة احمد"/>
        <s v="ولاء الحميد-مشهورة"/>
        <s v="مفيد النويصر"/>
        <s v="بندر اليوسف"/>
        <s v="حنان أبا الخيل "/>
        <s v="روان اليوسف"/>
        <s v="بدور اليوسف"/>
        <s v="الاء اليوسف"/>
        <s v="ملاك اليوسف"/>
        <s v="هارفي نيكيلز-هديه"/>
        <s v="وجدان الصبار"/>
        <s v="علي اليامي"/>
        <s v="متعب السبيت"/>
        <s v="مها اليوسف"/>
        <s v="دلال المقبل"/>
        <s v="بابيون"/>
        <s v="رضوان كنفش"/>
        <s v="معاذ خواجي مشهور"/>
        <s v="بكري حداد"/>
        <s v="يوسف البكيري مشهور"/>
        <s v="فيصل المالكي مشهور"/>
        <m/>
        <s v="عينات هارفي نيكلز" u="1"/>
        <s v="عينات لاروميوس" u="1"/>
        <s v="نجلاء" u="1"/>
        <s v="عينات غلو هاوس " u="1"/>
        <s v="بدور" u="1"/>
        <s v="ثامر " u="1"/>
        <s v="عينات الفورسيزون " u="1"/>
        <s v="الاء" u="1"/>
        <s v="فهد +فهد" u="1"/>
        <s v="ملاك" u="1"/>
        <s v="روان" u="1"/>
        <s v="بندر" u="1"/>
      </sharedItems>
    </cacheField>
    <cacheField name="Category" numFmtId="0">
      <sharedItems containsBlank="1" count="6">
        <s v="VIP"/>
        <s v="Sample"/>
        <s v="Damage"/>
        <s v="Marketing"/>
        <s v="Tester"/>
        <m/>
      </sharedItems>
    </cacheField>
    <cacheField name="Comment" numFmtId="0">
      <sharedItems containsBlank="1"/>
    </cacheField>
    <cacheField name="Ref" numFmtId="0">
      <sharedItems containsString="0" containsBlank="1" containsNumber="1" containsInteger="1" minValue="6287020840012" maxValue="6287020840104" count="10">
        <n v="6287020840012"/>
        <n v="6287020840036"/>
        <n v="6287020840029"/>
        <n v="6287020840050"/>
        <n v="6287020840074"/>
        <n v="6287020840067"/>
        <n v="6287020840098"/>
        <n v="6287020840081"/>
        <n v="6287020840104"/>
        <m/>
      </sharedItems>
    </cacheField>
    <cacheField name="Description" numFmtId="0">
      <sharedItems containsBlank="1" count="11">
        <s v="ROYAL MUSK EXTRAIT DE PARFUM  50ML"/>
        <s v="ROYAL JASMINE EXTRAIT DE PARFUM  50ML"/>
        <s v="ROYAL OUD PARFUME 50ML"/>
        <s v="LADY LULU EXTRAIT DE PARFUM  50ML"/>
        <s v="EVORA PARFUME 50ML"/>
        <s v="SOLENNE EXTRAIT DE PARFUM  50ML"/>
        <s v="LUMISK HAIR MUST 35ML"/>
        <s v="LUNÉRA HAIR MUST  35ML"/>
        <s v="PEACH MOSS HAIR MUST 35ML"/>
        <e v="#N/A"/>
        <m/>
      </sharedItems>
    </cacheField>
    <cacheField name="Quantity" numFmtId="0">
      <sharedItems containsString="0" containsBlank="1" containsNumber="1" containsInteger="1" minValue="1" maxValue="8"/>
    </cacheField>
    <cacheField name="Cost" numFmtId="0">
      <sharedItems containsBlank="1" containsMixedTypes="1" containsNumber="1" minValue="82.173913043478265" maxValue="1492.1739130434801"/>
    </cacheField>
  </cacheFields>
  <extLst>
    <ext xmlns:x14="http://schemas.microsoft.com/office/spreadsheetml/2009/9/main" uri="{725AE2AE-9491-48be-B2B4-4EB974FC3084}">
      <x14:pivotCacheDefinition pivotCacheId="3707742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x v="0"/>
    <s v="تدشين بابيون 2026"/>
    <x v="0"/>
    <x v="0"/>
    <n v="1"/>
    <n v="134.34782608695653"/>
  </r>
  <r>
    <x v="1"/>
    <x v="0"/>
    <s v="تدشين بابيون 2026"/>
    <x v="0"/>
    <x v="0"/>
    <n v="1"/>
    <n v="134.34782608695653"/>
  </r>
  <r>
    <x v="2"/>
    <x v="1"/>
    <s v="الاصناف الجديدة 2026"/>
    <x v="0"/>
    <x v="0"/>
    <n v="1"/>
    <n v="134.34782608695653"/>
  </r>
  <r>
    <x v="3"/>
    <x v="1"/>
    <s v="الاصناف الجديدة 2026"/>
    <x v="0"/>
    <x v="0"/>
    <n v="1"/>
    <n v="134.34782608695653"/>
  </r>
  <r>
    <x v="4"/>
    <x v="2"/>
    <s v="تعويض عميل الموقع الالكتروني"/>
    <x v="0"/>
    <x v="0"/>
    <n v="2"/>
    <n v="268.69565217391306"/>
  </r>
  <r>
    <x v="5"/>
    <x v="1"/>
    <s v="الاصناف الجديدة 2026"/>
    <x v="0"/>
    <x v="0"/>
    <n v="1"/>
    <n v="134.34782608695653"/>
  </r>
  <r>
    <x v="6"/>
    <x v="0"/>
    <s v="تدشين بابيون 2026"/>
    <x v="1"/>
    <x v="1"/>
    <n v="1"/>
    <n v="147.39130434782609"/>
  </r>
  <r>
    <x v="7"/>
    <x v="0"/>
    <s v="تدشين بابيون 2026"/>
    <x v="1"/>
    <x v="1"/>
    <n v="1"/>
    <n v="147.39130434782609"/>
  </r>
  <r>
    <x v="8"/>
    <x v="0"/>
    <s v="تدشين بابيون 2026"/>
    <x v="1"/>
    <x v="1"/>
    <n v="1"/>
    <n v="147.39130434782609"/>
  </r>
  <r>
    <x v="9"/>
    <x v="0"/>
    <s v="تدشين بابيون 2026"/>
    <x v="1"/>
    <x v="1"/>
    <n v="1"/>
    <n v="147.39130434782609"/>
  </r>
  <r>
    <x v="10"/>
    <x v="0"/>
    <s v="تدشين بابيون 2026"/>
    <x v="1"/>
    <x v="1"/>
    <n v="1"/>
    <n v="147.39130434782609"/>
  </r>
  <r>
    <x v="11"/>
    <x v="0"/>
    <s v="تدشين بابيون 2026"/>
    <x v="1"/>
    <x v="1"/>
    <n v="1"/>
    <n v="147.39130434782609"/>
  </r>
  <r>
    <x v="1"/>
    <x v="0"/>
    <s v="تدشين بابيون 2026"/>
    <x v="1"/>
    <x v="1"/>
    <n v="1"/>
    <n v="147.39130434782609"/>
  </r>
  <r>
    <x v="12"/>
    <x v="3"/>
    <s v="تدشين الموقع الالكتروني"/>
    <x v="1"/>
    <x v="1"/>
    <n v="1"/>
    <n v="147.39130434782609"/>
  </r>
  <r>
    <x v="13"/>
    <x v="3"/>
    <s v="تدشين الموقع الالكتروني"/>
    <x v="1"/>
    <x v="1"/>
    <n v="1"/>
    <n v="147.39130434782609"/>
  </r>
  <r>
    <x v="2"/>
    <x v="1"/>
    <s v="الاصناف الجديدة 2026"/>
    <x v="1"/>
    <x v="1"/>
    <n v="1"/>
    <n v="147.39130434782609"/>
  </r>
  <r>
    <x v="14"/>
    <x v="0"/>
    <s v="تدشين بابيون 2026"/>
    <x v="1"/>
    <x v="1"/>
    <n v="1"/>
    <n v="147.39130434782609"/>
  </r>
  <r>
    <x v="3"/>
    <x v="1"/>
    <s v="الاصناف الجديدة 2026"/>
    <x v="1"/>
    <x v="1"/>
    <n v="1"/>
    <n v="147.39130434782609"/>
  </r>
  <r>
    <x v="5"/>
    <x v="1"/>
    <s v="الاصناف الجديدة 2026"/>
    <x v="1"/>
    <x v="1"/>
    <n v="1"/>
    <n v="147.39130434782609"/>
  </r>
  <r>
    <x v="6"/>
    <x v="0"/>
    <s v="تدشين بابيون 2026"/>
    <x v="2"/>
    <x v="2"/>
    <n v="1"/>
    <n v="186.52173913043501"/>
  </r>
  <r>
    <x v="7"/>
    <x v="0"/>
    <s v="تدشين بابيون 2026"/>
    <x v="2"/>
    <x v="2"/>
    <n v="1"/>
    <n v="186.52173913043501"/>
  </r>
  <r>
    <x v="8"/>
    <x v="0"/>
    <s v="تدشين بابيون 2026"/>
    <x v="2"/>
    <x v="2"/>
    <n v="1"/>
    <n v="186.52173913043501"/>
  </r>
  <r>
    <x v="15"/>
    <x v="0"/>
    <s v="تدشين بابيون 2026"/>
    <x v="2"/>
    <x v="2"/>
    <n v="2"/>
    <n v="373.04347826087002"/>
  </r>
  <r>
    <x v="16"/>
    <x v="0"/>
    <s v="تدشين بابيون 2026"/>
    <x v="2"/>
    <x v="2"/>
    <n v="2"/>
    <n v="373.04347826087002"/>
  </r>
  <r>
    <x v="17"/>
    <x v="0"/>
    <s v="تدشين بابيون 2026"/>
    <x v="2"/>
    <x v="2"/>
    <n v="1"/>
    <n v="186.52173913043501"/>
  </r>
  <r>
    <x v="18"/>
    <x v="0"/>
    <s v="تدشين بابيون 2026"/>
    <x v="2"/>
    <x v="2"/>
    <n v="1"/>
    <n v="186.52173913043501"/>
  </r>
  <r>
    <x v="19"/>
    <x v="0"/>
    <s v="تدشين بابيون 2026"/>
    <x v="2"/>
    <x v="2"/>
    <n v="8"/>
    <n v="1492.1739130434801"/>
  </r>
  <r>
    <x v="1"/>
    <x v="0"/>
    <s v="تدشين بابيون 2026"/>
    <x v="2"/>
    <x v="2"/>
    <n v="1"/>
    <n v="186.52173913043501"/>
  </r>
  <r>
    <x v="20"/>
    <x v="0"/>
    <s v="تدشين بابيون 2026"/>
    <x v="2"/>
    <x v="2"/>
    <n v="3"/>
    <n v="559.56521739130505"/>
  </r>
  <r>
    <x v="21"/>
    <x v="0"/>
    <s v="تدشين بابيون 2026"/>
    <x v="2"/>
    <x v="2"/>
    <n v="1"/>
    <n v="186.52173913043501"/>
  </r>
  <r>
    <x v="2"/>
    <x v="1"/>
    <s v="الاصناف الجديدة 2026"/>
    <x v="2"/>
    <x v="2"/>
    <n v="1"/>
    <n v="186.52173913043501"/>
  </r>
  <r>
    <x v="22"/>
    <x v="0"/>
    <s v="تدشين بابيون 2026"/>
    <x v="2"/>
    <x v="2"/>
    <n v="1"/>
    <n v="186.52173913043501"/>
  </r>
  <r>
    <x v="23"/>
    <x v="0"/>
    <s v="تدشين بابيون 2026"/>
    <x v="2"/>
    <x v="2"/>
    <n v="1"/>
    <n v="186.52173913043501"/>
  </r>
  <r>
    <x v="24"/>
    <x v="0"/>
    <s v="تدشين بابيون 2026"/>
    <x v="2"/>
    <x v="2"/>
    <n v="1"/>
    <n v="186.52173913043501"/>
  </r>
  <r>
    <x v="25"/>
    <x v="0"/>
    <s v="تدشين بابيون 2026"/>
    <x v="2"/>
    <x v="2"/>
    <n v="1"/>
    <n v="186.52173913043501"/>
  </r>
  <r>
    <x v="3"/>
    <x v="1"/>
    <s v="الاصناف الجديدة 2026"/>
    <x v="2"/>
    <x v="2"/>
    <n v="1"/>
    <n v="186.52173913043501"/>
  </r>
  <r>
    <x v="5"/>
    <x v="1"/>
    <s v="الاصناف الجديدة 2026"/>
    <x v="2"/>
    <x v="2"/>
    <n v="1"/>
    <n v="186.52173913043501"/>
  </r>
  <r>
    <x v="26"/>
    <x v="0"/>
    <s v="تدشين بابيون 2026"/>
    <x v="3"/>
    <x v="3"/>
    <n v="1"/>
    <n v="156.08695652173915"/>
  </r>
  <r>
    <x v="27"/>
    <x v="0"/>
    <s v="تدشين بابيون 2026"/>
    <x v="3"/>
    <x v="3"/>
    <n v="1"/>
    <n v="156.08695652173915"/>
  </r>
  <r>
    <x v="28"/>
    <x v="0"/>
    <s v="تدشين بابيون 2026"/>
    <x v="3"/>
    <x v="3"/>
    <n v="1"/>
    <n v="156.08695652173915"/>
  </r>
  <r>
    <x v="1"/>
    <x v="0"/>
    <s v="تدشين بابيون 2026"/>
    <x v="3"/>
    <x v="3"/>
    <n v="1"/>
    <n v="156.08695652173915"/>
  </r>
  <r>
    <x v="29"/>
    <x v="3"/>
    <s v="تدشين الموقع الالكتروني"/>
    <x v="3"/>
    <x v="3"/>
    <n v="1"/>
    <n v="156.08695652173915"/>
  </r>
  <r>
    <x v="2"/>
    <x v="1"/>
    <s v="الاصناف الجديدة 2026"/>
    <x v="3"/>
    <x v="3"/>
    <n v="1"/>
    <n v="156.08695652173915"/>
  </r>
  <r>
    <x v="30"/>
    <x v="0"/>
    <s v="تدشين بابيون 2026"/>
    <x v="3"/>
    <x v="3"/>
    <n v="1"/>
    <n v="156.08695652173915"/>
  </r>
  <r>
    <x v="23"/>
    <x v="0"/>
    <s v="تدشين بابيون 2026"/>
    <x v="3"/>
    <x v="3"/>
    <n v="1"/>
    <n v="156.08695652173915"/>
  </r>
  <r>
    <x v="24"/>
    <x v="0"/>
    <s v="تدشين بابيون 2026"/>
    <x v="3"/>
    <x v="3"/>
    <n v="1"/>
    <n v="156.08695652173915"/>
  </r>
  <r>
    <x v="25"/>
    <x v="0"/>
    <s v="تدشين بابيون 2026"/>
    <x v="3"/>
    <x v="3"/>
    <n v="1"/>
    <n v="156.08695652173915"/>
  </r>
  <r>
    <x v="31"/>
    <x v="0"/>
    <s v="تدشين بابيون 2026"/>
    <x v="3"/>
    <x v="3"/>
    <n v="1"/>
    <n v="156.08695652173915"/>
  </r>
  <r>
    <x v="32"/>
    <x v="0"/>
    <s v="تدشين بابيون 2026"/>
    <x v="3"/>
    <x v="3"/>
    <n v="1"/>
    <n v="156.08695652173915"/>
  </r>
  <r>
    <x v="3"/>
    <x v="1"/>
    <s v="الاصناف الجديدة 2026"/>
    <x v="3"/>
    <x v="3"/>
    <n v="1"/>
    <n v="156.08695652173915"/>
  </r>
  <r>
    <x v="5"/>
    <x v="1"/>
    <s v="الاصناف الجديدة 2026"/>
    <x v="3"/>
    <x v="3"/>
    <n v="1"/>
    <n v="156.08695652173915"/>
  </r>
  <r>
    <x v="6"/>
    <x v="0"/>
    <s v="تدشين بابيون 2026"/>
    <x v="4"/>
    <x v="4"/>
    <n v="1"/>
    <n v="160.43478260869566"/>
  </r>
  <r>
    <x v="7"/>
    <x v="0"/>
    <s v="تدشين بابيون 2026"/>
    <x v="4"/>
    <x v="4"/>
    <n v="1"/>
    <n v="160.43478260869566"/>
  </r>
  <r>
    <x v="8"/>
    <x v="0"/>
    <s v="تدشين بابيون 2026"/>
    <x v="4"/>
    <x v="4"/>
    <n v="1"/>
    <n v="160.43478260869566"/>
  </r>
  <r>
    <x v="33"/>
    <x v="0"/>
    <s v="تدشين بابيون 2026"/>
    <x v="4"/>
    <x v="4"/>
    <n v="1"/>
    <n v="160.43478260869566"/>
  </r>
  <r>
    <x v="34"/>
    <x v="0"/>
    <s v="تدشين بابيون 2026"/>
    <x v="4"/>
    <x v="4"/>
    <n v="1"/>
    <n v="160.43478260869566"/>
  </r>
  <r>
    <x v="35"/>
    <x v="0"/>
    <s v="تدشين بابيون 2026"/>
    <x v="4"/>
    <x v="4"/>
    <n v="1"/>
    <n v="160.43478260869566"/>
  </r>
  <r>
    <x v="1"/>
    <x v="0"/>
    <s v="تدشين بابيون 2026"/>
    <x v="4"/>
    <x v="4"/>
    <n v="1"/>
    <n v="160.43478260869566"/>
  </r>
  <r>
    <x v="29"/>
    <x v="3"/>
    <s v="تدشين الموقع الالكتروني"/>
    <x v="4"/>
    <x v="4"/>
    <n v="1"/>
    <n v="160.43478260869566"/>
  </r>
  <r>
    <x v="2"/>
    <x v="1"/>
    <s v="الاصناف الجديدة 2026"/>
    <x v="4"/>
    <x v="4"/>
    <n v="1"/>
    <n v="160.43478260869566"/>
  </r>
  <r>
    <x v="31"/>
    <x v="0"/>
    <s v="تدشين بابيون 2026"/>
    <x v="4"/>
    <x v="4"/>
    <n v="1"/>
    <n v="160.43478260869566"/>
  </r>
  <r>
    <x v="3"/>
    <x v="1"/>
    <s v="الاصناف الجديدة 2026"/>
    <x v="4"/>
    <x v="4"/>
    <n v="1"/>
    <n v="160.43478260869566"/>
  </r>
  <r>
    <x v="5"/>
    <x v="1"/>
    <s v="الاصناف الجديدة 2026"/>
    <x v="4"/>
    <x v="4"/>
    <n v="1"/>
    <n v="160.43478260869566"/>
  </r>
  <r>
    <x v="36"/>
    <x v="0"/>
    <s v="تدشين بابيون 2026"/>
    <x v="5"/>
    <x v="5"/>
    <n v="1"/>
    <n v="160.43478260869566"/>
  </r>
  <r>
    <x v="1"/>
    <x v="0"/>
    <s v="تدشين بابيون 2026"/>
    <x v="5"/>
    <x v="5"/>
    <n v="1"/>
    <n v="160.43478260869566"/>
  </r>
  <r>
    <x v="37"/>
    <x v="0"/>
    <s v="تدشين بابيون 2026"/>
    <x v="5"/>
    <x v="5"/>
    <n v="1"/>
    <n v="160.43478260869566"/>
  </r>
  <r>
    <x v="2"/>
    <x v="1"/>
    <s v="الاصناف الجديدة 2026"/>
    <x v="5"/>
    <x v="5"/>
    <n v="1"/>
    <n v="160.43478260869566"/>
  </r>
  <r>
    <x v="30"/>
    <x v="0"/>
    <s v="تدشين بابيون 2026"/>
    <x v="5"/>
    <x v="5"/>
    <n v="1"/>
    <n v="160.43478260869566"/>
  </r>
  <r>
    <x v="23"/>
    <x v="0"/>
    <s v="تدشين بابيون 2026"/>
    <x v="5"/>
    <x v="5"/>
    <n v="1"/>
    <n v="160.43478260869566"/>
  </r>
  <r>
    <x v="24"/>
    <x v="0"/>
    <s v="تدشين بابيون 2026"/>
    <x v="5"/>
    <x v="5"/>
    <n v="1"/>
    <n v="160.43478260869566"/>
  </r>
  <r>
    <x v="25"/>
    <x v="0"/>
    <s v="تدشين بابيون 2026"/>
    <x v="5"/>
    <x v="5"/>
    <n v="1"/>
    <n v="160.43478260869566"/>
  </r>
  <r>
    <x v="31"/>
    <x v="0"/>
    <s v="تدشين بابيون 2026"/>
    <x v="5"/>
    <x v="5"/>
    <n v="1"/>
    <n v="160.43478260869566"/>
  </r>
  <r>
    <x v="3"/>
    <x v="1"/>
    <s v="الاصناف الجديدة 2026"/>
    <x v="5"/>
    <x v="5"/>
    <n v="1"/>
    <n v="160.43478260869566"/>
  </r>
  <r>
    <x v="4"/>
    <x v="2"/>
    <s v="تعويض عميل الموقع الالكتروني"/>
    <x v="5"/>
    <x v="5"/>
    <n v="1"/>
    <n v="160.43478260869566"/>
  </r>
  <r>
    <x v="5"/>
    <x v="1"/>
    <s v="الاصناف الجديدة 2026"/>
    <x v="5"/>
    <x v="5"/>
    <n v="1"/>
    <n v="160.43478260869566"/>
  </r>
  <r>
    <x v="2"/>
    <x v="1"/>
    <s v="الاصناف الجديدة 2026"/>
    <x v="6"/>
    <x v="6"/>
    <n v="1"/>
    <n v="86.521739130434796"/>
  </r>
  <r>
    <x v="3"/>
    <x v="1"/>
    <s v="الاصناف الجديدة 2026"/>
    <x v="6"/>
    <x v="6"/>
    <n v="1"/>
    <n v="86.521739130434796"/>
  </r>
  <r>
    <x v="5"/>
    <x v="1"/>
    <s v="الاصناف الجديدة 2026"/>
    <x v="6"/>
    <x v="6"/>
    <n v="1"/>
    <n v="86.521739130434796"/>
  </r>
  <r>
    <x v="29"/>
    <x v="3"/>
    <s v="تدشين الموقع الالكتروني"/>
    <x v="7"/>
    <x v="7"/>
    <n v="1"/>
    <n v="82.173913043478265"/>
  </r>
  <r>
    <x v="2"/>
    <x v="1"/>
    <s v="الاصناف الجديدة 2026"/>
    <x v="7"/>
    <x v="7"/>
    <n v="1"/>
    <n v="82.173913043478265"/>
  </r>
  <r>
    <x v="32"/>
    <x v="0"/>
    <s v="تدشين بابيون 2026"/>
    <x v="7"/>
    <x v="7"/>
    <n v="1"/>
    <n v="82.173913043478265"/>
  </r>
  <r>
    <x v="3"/>
    <x v="1"/>
    <s v="الاصناف الجديدة 2026"/>
    <x v="7"/>
    <x v="7"/>
    <n v="1"/>
    <n v="82.173913043478265"/>
  </r>
  <r>
    <x v="5"/>
    <x v="1"/>
    <s v="الاصناف الجديدة 2026"/>
    <x v="7"/>
    <x v="7"/>
    <n v="1"/>
    <n v="82.173913043478265"/>
  </r>
  <r>
    <x v="38"/>
    <x v="0"/>
    <s v="تدشين بابيون 2026"/>
    <x v="8"/>
    <x v="8"/>
    <n v="1"/>
    <n v="82.173913043478265"/>
  </r>
  <r>
    <x v="27"/>
    <x v="0"/>
    <s v="تدشين بابيون 2026"/>
    <x v="8"/>
    <x v="8"/>
    <n v="2"/>
    <n v="164.34782608695653"/>
  </r>
  <r>
    <x v="12"/>
    <x v="3"/>
    <s v="تدشين الموقع الالكتروني"/>
    <x v="8"/>
    <x v="8"/>
    <n v="1"/>
    <n v="82.173913043478265"/>
  </r>
  <r>
    <x v="13"/>
    <x v="3"/>
    <s v="تدشين الموقع الالكتروني"/>
    <x v="8"/>
    <x v="8"/>
    <n v="1"/>
    <n v="82.173913043478265"/>
  </r>
  <r>
    <x v="2"/>
    <x v="1"/>
    <s v="الاصناف الجديدة 2026"/>
    <x v="8"/>
    <x v="8"/>
    <n v="1"/>
    <n v="82.173913043478265"/>
  </r>
  <r>
    <x v="23"/>
    <x v="0"/>
    <s v="تدشين بابيون 2026"/>
    <x v="8"/>
    <x v="8"/>
    <n v="1"/>
    <n v="82.173913043478265"/>
  </r>
  <r>
    <x v="14"/>
    <x v="0"/>
    <s v="تدشين بابيون 2026"/>
    <x v="8"/>
    <x v="8"/>
    <n v="1"/>
    <n v="82.173913043478265"/>
  </r>
  <r>
    <x v="3"/>
    <x v="1"/>
    <s v="الاصناف الجديدة 2026"/>
    <x v="8"/>
    <x v="8"/>
    <n v="1"/>
    <n v="82.173913043478265"/>
  </r>
  <r>
    <x v="5"/>
    <x v="1"/>
    <s v="الاصناف الجديدة 2026"/>
    <x v="8"/>
    <x v="8"/>
    <n v="1"/>
    <n v="82.173913043478265"/>
  </r>
  <r>
    <x v="39"/>
    <x v="0"/>
    <s v="هدايا عيد الفطر 2026"/>
    <x v="2"/>
    <x v="2"/>
    <n v="1"/>
    <n v="186.52173913043501"/>
  </r>
  <r>
    <x v="39"/>
    <x v="0"/>
    <s v="هدايا عيد الفطر 2026"/>
    <x v="5"/>
    <x v="5"/>
    <n v="1"/>
    <n v="160.43478260869566"/>
  </r>
  <r>
    <x v="40"/>
    <x v="0"/>
    <s v="هدايا عيد الفطر 2026"/>
    <x v="2"/>
    <x v="2"/>
    <n v="1"/>
    <n v="186.52173913043501"/>
  </r>
  <r>
    <x v="40"/>
    <x v="0"/>
    <s v="هدايا عيد الفطر 2026"/>
    <x v="5"/>
    <x v="5"/>
    <n v="1"/>
    <n v="160.43478260869566"/>
  </r>
  <r>
    <x v="41"/>
    <x v="0"/>
    <s v="هدايا عيد الفطر 2026"/>
    <x v="1"/>
    <x v="1"/>
    <n v="1"/>
    <n v="147.39130434782609"/>
  </r>
  <r>
    <x v="34"/>
    <x v="0"/>
    <s v="هدايا عيد الفطر 2026"/>
    <x v="8"/>
    <x v="8"/>
    <n v="1"/>
    <n v="82.173913043478265"/>
  </r>
  <r>
    <x v="36"/>
    <x v="0"/>
    <s v="هدايا عيد الفطر 2026"/>
    <x v="8"/>
    <x v="8"/>
    <n v="1"/>
    <n v="82.173913043478265"/>
  </r>
  <r>
    <x v="33"/>
    <x v="0"/>
    <s v="هدايا عيد الفطر 2026"/>
    <x v="8"/>
    <x v="8"/>
    <n v="1"/>
    <n v="82.173913043478265"/>
  </r>
  <r>
    <x v="42"/>
    <x v="0"/>
    <s v="هدايا عيد الفطر 2026"/>
    <x v="8"/>
    <x v="8"/>
    <n v="1"/>
    <n v="82.173913043478265"/>
  </r>
  <r>
    <x v="2"/>
    <x v="4"/>
    <s v="مواد عرض"/>
    <x v="0"/>
    <x v="0"/>
    <n v="3"/>
    <n v="403.04347826086962"/>
  </r>
  <r>
    <x v="2"/>
    <x v="4"/>
    <s v="مواد عرض"/>
    <x v="1"/>
    <x v="1"/>
    <n v="3"/>
    <n v="442.17391304347825"/>
  </r>
  <r>
    <x v="2"/>
    <x v="4"/>
    <s v="مواد عرض"/>
    <x v="2"/>
    <x v="2"/>
    <n v="3"/>
    <n v="559.56521739130505"/>
  </r>
  <r>
    <x v="2"/>
    <x v="4"/>
    <s v="مواد عرض"/>
    <x v="3"/>
    <x v="3"/>
    <n v="3"/>
    <n v="468.26086956521749"/>
  </r>
  <r>
    <x v="2"/>
    <x v="4"/>
    <s v="مواد عرض"/>
    <x v="4"/>
    <x v="4"/>
    <n v="3"/>
    <n v="481.304347826087"/>
  </r>
  <r>
    <x v="2"/>
    <x v="4"/>
    <s v="مواد عرض"/>
    <x v="5"/>
    <x v="5"/>
    <n v="3"/>
    <n v="481.304347826087"/>
  </r>
  <r>
    <x v="2"/>
    <x v="4"/>
    <s v="مواد عرض"/>
    <x v="6"/>
    <x v="6"/>
    <n v="3"/>
    <n v="259.56521739130437"/>
  </r>
  <r>
    <x v="2"/>
    <x v="4"/>
    <s v="مواد عرض"/>
    <x v="7"/>
    <x v="7"/>
    <n v="3"/>
    <n v="246.52173913043481"/>
  </r>
  <r>
    <x v="2"/>
    <x v="4"/>
    <s v="مواد عرض"/>
    <x v="8"/>
    <x v="8"/>
    <n v="3"/>
    <n v="246.52173913043481"/>
  </r>
  <r>
    <x v="43"/>
    <x v="4"/>
    <s v="مواد عرض"/>
    <x v="0"/>
    <x v="0"/>
    <n v="2"/>
    <n v="268.69565217391306"/>
  </r>
  <r>
    <x v="43"/>
    <x v="4"/>
    <s v="مواد عرض"/>
    <x v="1"/>
    <x v="1"/>
    <n v="2"/>
    <n v="294.78260869565219"/>
  </r>
  <r>
    <x v="43"/>
    <x v="4"/>
    <s v="مواد عرض"/>
    <x v="2"/>
    <x v="2"/>
    <n v="2"/>
    <n v="373.04347826087002"/>
  </r>
  <r>
    <x v="43"/>
    <x v="4"/>
    <s v="مواد عرض"/>
    <x v="3"/>
    <x v="3"/>
    <n v="2"/>
    <n v="312.17391304347831"/>
  </r>
  <r>
    <x v="43"/>
    <x v="4"/>
    <s v="مواد عرض"/>
    <x v="4"/>
    <x v="4"/>
    <n v="2"/>
    <n v="320.86956521739131"/>
  </r>
  <r>
    <x v="43"/>
    <x v="4"/>
    <s v="مواد عرض"/>
    <x v="5"/>
    <x v="5"/>
    <n v="2"/>
    <n v="320.86956521739131"/>
  </r>
  <r>
    <x v="43"/>
    <x v="4"/>
    <s v="مواد عرض"/>
    <x v="6"/>
    <x v="6"/>
    <n v="2"/>
    <n v="173.04347826086959"/>
  </r>
  <r>
    <x v="43"/>
    <x v="4"/>
    <s v="مواد عرض"/>
    <x v="7"/>
    <x v="7"/>
    <n v="2"/>
    <n v="164.34782608695653"/>
  </r>
  <r>
    <x v="43"/>
    <x v="4"/>
    <s v="مواد عرض"/>
    <x v="8"/>
    <x v="8"/>
    <n v="2"/>
    <n v="164.34782608695653"/>
  </r>
  <r>
    <x v="44"/>
    <x v="0"/>
    <s v="تدشين جلو هاوس 2026"/>
    <x v="2"/>
    <x v="2"/>
    <n v="1"/>
    <n v="186.52173913043501"/>
  </r>
  <r>
    <x v="45"/>
    <x v="3"/>
    <s v="تدشين جلو هاوس 2026"/>
    <x v="5"/>
    <x v="5"/>
    <n v="1"/>
    <n v="160.43478260869566"/>
  </r>
  <r>
    <x v="46"/>
    <x v="0"/>
    <s v="تدشين جلو هاوس 2026"/>
    <x v="2"/>
    <x v="2"/>
    <n v="1"/>
    <n v="186.52173913043501"/>
  </r>
  <r>
    <x v="47"/>
    <x v="3"/>
    <s v="تدشين جلو هاوس 2026"/>
    <x v="0"/>
    <x v="0"/>
    <n v="1"/>
    <n v="134.34782608695653"/>
  </r>
  <r>
    <x v="48"/>
    <x v="3"/>
    <s v="تدشين جلو هاوس 2026"/>
    <x v="2"/>
    <x v="2"/>
    <n v="1"/>
    <n v="186.52173913043501"/>
  </r>
  <r>
    <x v="49"/>
    <x v="5"/>
    <m/>
    <x v="9"/>
    <x v="9"/>
    <m/>
    <e v="#N/A"/>
  </r>
  <r>
    <x v="49"/>
    <x v="5"/>
    <m/>
    <x v="9"/>
    <x v="9"/>
    <m/>
    <e v="#N/A"/>
  </r>
  <r>
    <x v="49"/>
    <x v="5"/>
    <m/>
    <x v="9"/>
    <x v="9"/>
    <m/>
    <e v="#N/A"/>
  </r>
  <r>
    <x v="49"/>
    <x v="5"/>
    <m/>
    <x v="9"/>
    <x v="9"/>
    <m/>
    <e v="#N/A"/>
  </r>
  <r>
    <x v="49"/>
    <x v="5"/>
    <m/>
    <x v="9"/>
    <x v="9"/>
    <m/>
    <e v="#N/A"/>
  </r>
  <r>
    <x v="49"/>
    <x v="5"/>
    <m/>
    <x v="9"/>
    <x v="9"/>
    <m/>
    <e v="#N/A"/>
  </r>
  <r>
    <x v="49"/>
    <x v="5"/>
    <m/>
    <x v="9"/>
    <x v="9"/>
    <m/>
    <e v="#N/A"/>
  </r>
  <r>
    <x v="49"/>
    <x v="5"/>
    <m/>
    <x v="9"/>
    <x v="9"/>
    <m/>
    <e v="#N/A"/>
  </r>
  <r>
    <x v="49"/>
    <x v="5"/>
    <m/>
    <x v="9"/>
    <x v="9"/>
    <m/>
    <e v="#N/A"/>
  </r>
  <r>
    <x v="49"/>
    <x v="5"/>
    <m/>
    <x v="9"/>
    <x v="9"/>
    <m/>
    <e v="#N/A"/>
  </r>
  <r>
    <x v="49"/>
    <x v="5"/>
    <m/>
    <x v="9"/>
    <x v="9"/>
    <m/>
    <e v="#N/A"/>
  </r>
  <r>
    <x v="49"/>
    <x v="5"/>
    <m/>
    <x v="9"/>
    <x v="9"/>
    <m/>
    <e v="#N/A"/>
  </r>
  <r>
    <x v="49"/>
    <x v="5"/>
    <m/>
    <x v="9"/>
    <x v="9"/>
    <m/>
    <e v="#N/A"/>
  </r>
  <r>
    <x v="49"/>
    <x v="5"/>
    <m/>
    <x v="9"/>
    <x v="9"/>
    <m/>
    <e v="#N/A"/>
  </r>
  <r>
    <x v="49"/>
    <x v="5"/>
    <m/>
    <x v="9"/>
    <x v="9"/>
    <m/>
    <e v="#N/A"/>
  </r>
  <r>
    <x v="49"/>
    <x v="5"/>
    <m/>
    <x v="9"/>
    <x v="9"/>
    <m/>
    <e v="#N/A"/>
  </r>
  <r>
    <x v="49"/>
    <x v="5"/>
    <m/>
    <x v="9"/>
    <x v="9"/>
    <m/>
    <e v="#N/A"/>
  </r>
  <r>
    <x v="49"/>
    <x v="5"/>
    <m/>
    <x v="9"/>
    <x v="9"/>
    <m/>
    <e v="#N/A"/>
  </r>
  <r>
    <x v="49"/>
    <x v="5"/>
    <m/>
    <x v="9"/>
    <x v="9"/>
    <m/>
    <e v="#N/A"/>
  </r>
  <r>
    <x v="49"/>
    <x v="5"/>
    <m/>
    <x v="9"/>
    <x v="9"/>
    <m/>
    <e v="#N/A"/>
  </r>
  <r>
    <x v="49"/>
    <x v="5"/>
    <m/>
    <x v="9"/>
    <x v="1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64D112-1CCD-46C2-97E4-FDF1766C980E}" name="PivotTable1" cacheId="0" applyNumberFormats="0" applyBorderFormats="0" applyFontFormats="0" applyPatternFormats="0" applyAlignmentFormats="0" applyWidthHeightFormats="1" dataCaption="Values" updatedVersion="6" minRefreshableVersion="3" useAutoFormatting="1" itemPrintTitles="1" createdVersion="7" indent="0" compact="0" compactData="0" gridDropZones="1" multipleFieldFilters="0">
  <location ref="A3:E8" firstHeaderRow="1" firstDataRow="2" firstDataCol="3"/>
  <pivotFields count="7">
    <pivotField axis="axisRow" compact="0" outline="0" showAll="0">
      <items count="63">
        <item x="23"/>
        <item x="17"/>
        <item x="19"/>
        <item m="1" x="57"/>
        <item x="13"/>
        <item x="14"/>
        <item x="18"/>
        <item m="1" x="54"/>
        <item m="1" x="61"/>
        <item x="4"/>
        <item x="26"/>
        <item m="1" x="55"/>
        <item x="32"/>
        <item x="7"/>
        <item x="6"/>
        <item x="20"/>
        <item m="1" x="60"/>
        <item x="25"/>
        <item x="12"/>
        <item x="27"/>
        <item x="8"/>
        <item m="1" x="56"/>
        <item m="1" x="53"/>
        <item m="1" x="51"/>
        <item m="1" x="50"/>
        <item x="0"/>
        <item m="1" x="58"/>
        <item x="1"/>
        <item x="24"/>
        <item x="30"/>
        <item m="1" x="59"/>
        <item x="11"/>
        <item x="22"/>
        <item m="1" x="52"/>
        <item x="37"/>
        <item x="9"/>
        <item x="28"/>
        <item x="38"/>
        <item x="29"/>
        <item x="49"/>
        <item x="10"/>
        <item x="15"/>
        <item x="16"/>
        <item x="21"/>
        <item x="31"/>
        <item x="33"/>
        <item x="34"/>
        <item x="35"/>
        <item x="36"/>
        <item x="39"/>
        <item x="40"/>
        <item x="41"/>
        <item x="2"/>
        <item x="3"/>
        <item x="5"/>
        <item x="42"/>
        <item x="43"/>
        <item x="44"/>
        <item x="45"/>
        <item x="46"/>
        <item x="47"/>
        <item x="48"/>
        <item t="default"/>
      </items>
    </pivotField>
    <pivotField compact="0" outline="0" showAll="0">
      <items count="7">
        <item x="2"/>
        <item h="1" x="3"/>
        <item h="1" x="1"/>
        <item h="1" x="4"/>
        <item h="1" x="0"/>
        <item h="1" x="5"/>
        <item t="default"/>
      </items>
    </pivotField>
    <pivotField compact="0" outline="0" showAll="0"/>
    <pivotField axis="axisRow" compact="0" outline="0" showAll="0" defaultSubtotal="0">
      <items count="10">
        <item x="0"/>
        <item x="2"/>
        <item x="1"/>
        <item x="3"/>
        <item x="5"/>
        <item x="4"/>
        <item x="7"/>
        <item x="6"/>
        <item x="8"/>
        <item h="1" x="9"/>
      </items>
    </pivotField>
    <pivotField axis="axisRow" compact="0" outline="0" showAll="0" sortType="descending">
      <items count="12">
        <item x="4"/>
        <item x="3"/>
        <item x="6"/>
        <item x="7"/>
        <item x="8"/>
        <item x="1"/>
        <item x="0"/>
        <item x="2"/>
        <item x="5"/>
        <item x="9"/>
        <item x="10"/>
        <item t="default"/>
      </items>
      <autoSortScope>
        <pivotArea dataOnly="0" outline="0" fieldPosition="0">
          <references count="1">
            <reference field="4294967294" count="1" selected="0">
              <x v="1"/>
            </reference>
          </references>
        </pivotArea>
      </autoSortScope>
    </pivotField>
    <pivotField dataField="1" compact="0" outline="0" showAll="0"/>
    <pivotField dataField="1" compact="0" outline="0" showAll="0"/>
  </pivotFields>
  <rowFields count="3">
    <field x="0"/>
    <field x="3"/>
    <field x="4"/>
  </rowFields>
  <rowItems count="4">
    <i>
      <x v="9"/>
      <x/>
      <x v="6"/>
    </i>
    <i r="1">
      <x v="4"/>
      <x v="8"/>
    </i>
    <i t="default">
      <x v="9"/>
    </i>
    <i t="grand">
      <x/>
    </i>
  </rowItems>
  <colFields count="1">
    <field x="-2"/>
  </colFields>
  <colItems count="2">
    <i>
      <x/>
    </i>
    <i i="1">
      <x v="1"/>
    </i>
  </colItems>
  <dataFields count="2">
    <dataField name="Sum of Quantity" fld="5" baseField="0" baseItem="0"/>
    <dataField name="Sum of Cost" fld="6" baseField="3" baseItem="1" numFmtId="3"/>
  </dataFields>
  <formats count="216">
    <format dxfId="1079">
      <pivotArea outline="0" collapsedLevelsAreSubtotals="1" fieldPosition="0"/>
    </format>
    <format dxfId="1078">
      <pivotArea type="topRight" dataOnly="0" labelOnly="1" outline="0" fieldPosition="0"/>
    </format>
    <format dxfId="1077">
      <pivotArea type="all" dataOnly="0" outline="0" fieldPosition="0"/>
    </format>
    <format dxfId="1076">
      <pivotArea outline="0" collapsedLevelsAreSubtotals="1" fieldPosition="0"/>
    </format>
    <format dxfId="1075">
      <pivotArea type="origin" dataOnly="0" labelOnly="1" outline="0" fieldPosition="0"/>
    </format>
    <format dxfId="1074">
      <pivotArea field="0" type="button" dataOnly="0" labelOnly="1" outline="0" axis="axisRow" fieldPosition="0"/>
    </format>
    <format dxfId="1073">
      <pivotArea field="3" type="button" dataOnly="0" labelOnly="1" outline="0" axis="axisRow" fieldPosition="1"/>
    </format>
    <format dxfId="1072">
      <pivotArea field="4" type="button" dataOnly="0" labelOnly="1" outline="0" axis="axisRow" fieldPosition="2"/>
    </format>
    <format dxfId="1071">
      <pivotArea dataOnly="0" labelOnly="1" grandRow="1" outline="0" fieldPosition="0"/>
    </format>
    <format dxfId="1070">
      <pivotArea type="topRight" dataOnly="0" labelOnly="1" outline="0" fieldPosition="0"/>
    </format>
    <format dxfId="1069">
      <pivotArea outline="0" fieldPosition="0">
        <references count="1">
          <reference field="4294967294" count="1">
            <x v="1"/>
          </reference>
        </references>
      </pivotArea>
    </format>
    <format dxfId="1068">
      <pivotArea dataOnly="0" outline="0" fieldPosition="0">
        <references count="1">
          <reference field="0" count="0" defaultSubtotal="1"/>
        </references>
      </pivotArea>
    </format>
    <format dxfId="1067">
      <pivotArea type="origin" dataOnly="0" labelOnly="1" outline="0" fieldPosition="0"/>
    </format>
    <format dxfId="1066">
      <pivotArea field="-2" type="button" dataOnly="0" labelOnly="1" outline="0" axis="axisCol" fieldPosition="0"/>
    </format>
    <format dxfId="1065">
      <pivotArea type="topRight" dataOnly="0" labelOnly="1" outline="0" fieldPosition="0"/>
    </format>
    <format dxfId="1064">
      <pivotArea field="0" type="button" dataOnly="0" labelOnly="1" outline="0" axis="axisRow" fieldPosition="0"/>
    </format>
    <format dxfId="1063">
      <pivotArea field="3" type="button" dataOnly="0" labelOnly="1" outline="0" axis="axisRow" fieldPosition="1"/>
    </format>
    <format dxfId="1062">
      <pivotArea field="4" type="button" dataOnly="0" labelOnly="1" outline="0" axis="axisRow" fieldPosition="2"/>
    </format>
    <format dxfId="1061">
      <pivotArea dataOnly="0" labelOnly="1" outline="0" fieldPosition="0">
        <references count="1">
          <reference field="4294967294" count="2">
            <x v="0"/>
            <x v="1"/>
          </reference>
        </references>
      </pivotArea>
    </format>
    <format dxfId="1060">
      <pivotArea type="origin" dataOnly="0" labelOnly="1" outline="0" fieldPosition="0"/>
    </format>
    <format dxfId="1059">
      <pivotArea field="-2" type="button" dataOnly="0" labelOnly="1" outline="0" axis="axisCol" fieldPosition="0"/>
    </format>
    <format dxfId="1058">
      <pivotArea type="topRight" dataOnly="0" labelOnly="1" outline="0" fieldPosition="0"/>
    </format>
    <format dxfId="1057">
      <pivotArea field="0" type="button" dataOnly="0" labelOnly="1" outline="0" axis="axisRow" fieldPosition="0"/>
    </format>
    <format dxfId="1056">
      <pivotArea field="3" type="button" dataOnly="0" labelOnly="1" outline="0" axis="axisRow" fieldPosition="1"/>
    </format>
    <format dxfId="1055">
      <pivotArea field="4" type="button" dataOnly="0" labelOnly="1" outline="0" axis="axisRow" fieldPosition="2"/>
    </format>
    <format dxfId="1054">
      <pivotArea dataOnly="0" labelOnly="1" outline="0" fieldPosition="0">
        <references count="1">
          <reference field="4294967294" count="2">
            <x v="0"/>
            <x v="1"/>
          </reference>
        </references>
      </pivotArea>
    </format>
    <format dxfId="1053">
      <pivotArea type="all" dataOnly="0" outline="0" fieldPosition="0"/>
    </format>
    <format dxfId="1052">
      <pivotArea outline="0" collapsedLevelsAreSubtotals="1" fieldPosition="0"/>
    </format>
    <format dxfId="1051">
      <pivotArea type="origin" dataOnly="0" labelOnly="1" outline="0" fieldPosition="0"/>
    </format>
    <format dxfId="1050">
      <pivotArea field="-2" type="button" dataOnly="0" labelOnly="1" outline="0" axis="axisCol" fieldPosition="0"/>
    </format>
    <format dxfId="1049">
      <pivotArea type="topRight" dataOnly="0" labelOnly="1" outline="0" fieldPosition="0"/>
    </format>
    <format dxfId="1048">
      <pivotArea field="0" type="button" dataOnly="0" labelOnly="1" outline="0" axis="axisRow" fieldPosition="0"/>
    </format>
    <format dxfId="1047">
      <pivotArea field="3" type="button" dataOnly="0" labelOnly="1" outline="0" axis="axisRow" fieldPosition="1"/>
    </format>
    <format dxfId="1046">
      <pivotArea field="4" type="button" dataOnly="0" labelOnly="1" outline="0" axis="axisRow" fieldPosition="2"/>
    </format>
    <format dxfId="1045">
      <pivotArea dataOnly="0" labelOnly="1" outline="0" fieldPosition="0">
        <references count="1">
          <reference field="0" count="25">
            <x v="0"/>
            <x v="1"/>
            <x v="2"/>
            <x v="4"/>
            <x v="5"/>
            <x v="6"/>
            <x v="9"/>
            <x v="10"/>
            <x v="12"/>
            <x v="13"/>
            <x v="14"/>
            <x v="15"/>
            <x v="17"/>
            <x v="18"/>
            <x v="19"/>
            <x v="20"/>
            <x v="25"/>
            <x v="27"/>
            <x v="28"/>
            <x v="29"/>
            <x v="31"/>
            <x v="32"/>
            <x v="34"/>
            <x v="35"/>
            <x v="36"/>
          </reference>
        </references>
      </pivotArea>
    </format>
    <format dxfId="1044">
      <pivotArea dataOnly="0" labelOnly="1" outline="0" fieldPosition="0">
        <references count="1">
          <reference field="0" count="25" defaultSubtotal="1">
            <x v="0"/>
            <x v="1"/>
            <x v="2"/>
            <x v="4"/>
            <x v="5"/>
            <x v="6"/>
            <x v="9"/>
            <x v="10"/>
            <x v="12"/>
            <x v="13"/>
            <x v="14"/>
            <x v="15"/>
            <x v="17"/>
            <x v="18"/>
            <x v="19"/>
            <x v="20"/>
            <x v="25"/>
            <x v="27"/>
            <x v="28"/>
            <x v="29"/>
            <x v="31"/>
            <x v="32"/>
            <x v="34"/>
            <x v="35"/>
            <x v="36"/>
          </reference>
        </references>
      </pivotArea>
    </format>
    <format dxfId="1043">
      <pivotArea dataOnly="0" labelOnly="1" outline="0" fieldPosition="0">
        <references count="1">
          <reference field="0" count="24">
            <x v="37"/>
            <x v="38"/>
            <x v="40"/>
            <x v="41"/>
            <x v="42"/>
            <x v="43"/>
            <x v="44"/>
            <x v="45"/>
            <x v="46"/>
            <x v="47"/>
            <x v="48"/>
            <x v="49"/>
            <x v="50"/>
            <x v="51"/>
            <x v="52"/>
            <x v="53"/>
            <x v="54"/>
            <x v="55"/>
            <x v="56"/>
            <x v="57"/>
            <x v="58"/>
            <x v="59"/>
            <x v="60"/>
            <x v="61"/>
          </reference>
        </references>
      </pivotArea>
    </format>
    <format dxfId="1042">
      <pivotArea dataOnly="0" labelOnly="1" outline="0" fieldPosition="0">
        <references count="1">
          <reference field="0" count="24" defaultSubtotal="1">
            <x v="37"/>
            <x v="38"/>
            <x v="40"/>
            <x v="41"/>
            <x v="42"/>
            <x v="43"/>
            <x v="44"/>
            <x v="45"/>
            <x v="46"/>
            <x v="47"/>
            <x v="48"/>
            <x v="49"/>
            <x v="50"/>
            <x v="51"/>
            <x v="52"/>
            <x v="53"/>
            <x v="54"/>
            <x v="55"/>
            <x v="56"/>
            <x v="57"/>
            <x v="58"/>
            <x v="59"/>
            <x v="60"/>
            <x v="61"/>
          </reference>
        </references>
      </pivotArea>
    </format>
    <format dxfId="1041">
      <pivotArea dataOnly="0" labelOnly="1" grandRow="1" outline="0" fieldPosition="0"/>
    </format>
    <format dxfId="1040">
      <pivotArea dataOnly="0" labelOnly="1" outline="0" fieldPosition="0">
        <references count="2">
          <reference field="0" count="1" selected="0">
            <x v="0"/>
          </reference>
          <reference field="3" count="4">
            <x v="1"/>
            <x v="3"/>
            <x v="4"/>
            <x v="8"/>
          </reference>
        </references>
      </pivotArea>
    </format>
    <format dxfId="1039">
      <pivotArea dataOnly="0" labelOnly="1" outline="0" fieldPosition="0">
        <references count="2">
          <reference field="0" count="1" selected="0">
            <x v="1"/>
          </reference>
          <reference field="3" count="1">
            <x v="1"/>
          </reference>
        </references>
      </pivotArea>
    </format>
    <format dxfId="1038">
      <pivotArea dataOnly="0" labelOnly="1" outline="0" fieldPosition="0">
        <references count="2">
          <reference field="0" count="1" selected="0">
            <x v="2"/>
          </reference>
          <reference field="3" count="1">
            <x v="1"/>
          </reference>
        </references>
      </pivotArea>
    </format>
    <format dxfId="1037">
      <pivotArea dataOnly="0" labelOnly="1" outline="0" fieldPosition="0">
        <references count="2">
          <reference field="0" count="1" selected="0">
            <x v="4"/>
          </reference>
          <reference field="3" count="2">
            <x v="2"/>
            <x v="8"/>
          </reference>
        </references>
      </pivotArea>
    </format>
    <format dxfId="1036">
      <pivotArea dataOnly="0" labelOnly="1" outline="0" fieldPosition="0">
        <references count="2">
          <reference field="0" count="1" selected="0">
            <x v="5"/>
          </reference>
          <reference field="3" count="2">
            <x v="2"/>
            <x v="8"/>
          </reference>
        </references>
      </pivotArea>
    </format>
    <format dxfId="1035">
      <pivotArea dataOnly="0" labelOnly="1" outline="0" fieldPosition="0">
        <references count="2">
          <reference field="0" count="1" selected="0">
            <x v="6"/>
          </reference>
          <reference field="3" count="1">
            <x v="1"/>
          </reference>
        </references>
      </pivotArea>
    </format>
    <format dxfId="1034">
      <pivotArea dataOnly="0" labelOnly="1" outline="0" fieldPosition="0">
        <references count="2">
          <reference field="0" count="1" selected="0">
            <x v="9"/>
          </reference>
          <reference field="3" count="2">
            <x v="0"/>
            <x v="4"/>
          </reference>
        </references>
      </pivotArea>
    </format>
    <format dxfId="1033">
      <pivotArea dataOnly="0" labelOnly="1" outline="0" fieldPosition="0">
        <references count="2">
          <reference field="0" count="1" selected="0">
            <x v="10"/>
          </reference>
          <reference field="3" count="1">
            <x v="3"/>
          </reference>
        </references>
      </pivotArea>
    </format>
    <format dxfId="1032">
      <pivotArea dataOnly="0" labelOnly="1" outline="0" fieldPosition="0">
        <references count="2">
          <reference field="0" count="1" selected="0">
            <x v="12"/>
          </reference>
          <reference field="3" count="2">
            <x v="3"/>
            <x v="6"/>
          </reference>
        </references>
      </pivotArea>
    </format>
    <format dxfId="1031">
      <pivotArea dataOnly="0" labelOnly="1" outline="0" fieldPosition="0">
        <references count="2">
          <reference field="0" count="1" selected="0">
            <x v="13"/>
          </reference>
          <reference field="3" count="3">
            <x v="1"/>
            <x v="2"/>
            <x v="5"/>
          </reference>
        </references>
      </pivotArea>
    </format>
    <format dxfId="1030">
      <pivotArea dataOnly="0" labelOnly="1" outline="0" fieldPosition="0">
        <references count="2">
          <reference field="0" count="1" selected="0">
            <x v="14"/>
          </reference>
          <reference field="3" count="3">
            <x v="1"/>
            <x v="2"/>
            <x v="5"/>
          </reference>
        </references>
      </pivotArea>
    </format>
    <format dxfId="1029">
      <pivotArea dataOnly="0" labelOnly="1" outline="0" fieldPosition="0">
        <references count="2">
          <reference field="0" count="1" selected="0">
            <x v="15"/>
          </reference>
          <reference field="3" count="1">
            <x v="1"/>
          </reference>
        </references>
      </pivotArea>
    </format>
    <format dxfId="1028">
      <pivotArea dataOnly="0" labelOnly="1" outline="0" fieldPosition="0">
        <references count="2">
          <reference field="0" count="1" selected="0">
            <x v="17"/>
          </reference>
          <reference field="3" count="3">
            <x v="1"/>
            <x v="3"/>
            <x v="4"/>
          </reference>
        </references>
      </pivotArea>
    </format>
    <format dxfId="1027">
      <pivotArea dataOnly="0" labelOnly="1" outline="0" fieldPosition="0">
        <references count="2">
          <reference field="0" count="1" selected="0">
            <x v="18"/>
          </reference>
          <reference field="3" count="2">
            <x v="2"/>
            <x v="8"/>
          </reference>
        </references>
      </pivotArea>
    </format>
    <format dxfId="1026">
      <pivotArea dataOnly="0" labelOnly="1" outline="0" fieldPosition="0">
        <references count="2">
          <reference field="0" count="1" selected="0">
            <x v="19"/>
          </reference>
          <reference field="3" count="2">
            <x v="3"/>
            <x v="8"/>
          </reference>
        </references>
      </pivotArea>
    </format>
    <format dxfId="1025">
      <pivotArea dataOnly="0" labelOnly="1" outline="0" fieldPosition="0">
        <references count="2">
          <reference field="0" count="1" selected="0">
            <x v="20"/>
          </reference>
          <reference field="3" count="3">
            <x v="1"/>
            <x v="2"/>
            <x v="5"/>
          </reference>
        </references>
      </pivotArea>
    </format>
    <format dxfId="1024">
      <pivotArea dataOnly="0" labelOnly="1" outline="0" fieldPosition="0">
        <references count="2">
          <reference field="0" count="1" selected="0">
            <x v="25"/>
          </reference>
          <reference field="3" count="1">
            <x v="0"/>
          </reference>
        </references>
      </pivotArea>
    </format>
    <format dxfId="1023">
      <pivotArea dataOnly="0" labelOnly="1" outline="0" fieldPosition="0">
        <references count="2">
          <reference field="0" count="1" selected="0">
            <x v="27"/>
          </reference>
          <reference field="3" count="6">
            <x v="0"/>
            <x v="1"/>
            <x v="2"/>
            <x v="3"/>
            <x v="4"/>
            <x v="5"/>
          </reference>
        </references>
      </pivotArea>
    </format>
    <format dxfId="1022">
      <pivotArea dataOnly="0" labelOnly="1" outline="0" fieldPosition="0">
        <references count="2">
          <reference field="0" count="1" selected="0">
            <x v="28"/>
          </reference>
          <reference field="3" count="3">
            <x v="1"/>
            <x v="3"/>
            <x v="4"/>
          </reference>
        </references>
      </pivotArea>
    </format>
    <format dxfId="1021">
      <pivotArea dataOnly="0" labelOnly="1" outline="0" fieldPosition="0">
        <references count="2">
          <reference field="0" count="1" selected="0">
            <x v="29"/>
          </reference>
          <reference field="3" count="2">
            <x v="3"/>
            <x v="4"/>
          </reference>
        </references>
      </pivotArea>
    </format>
    <format dxfId="1020">
      <pivotArea dataOnly="0" labelOnly="1" outline="0" fieldPosition="0">
        <references count="2">
          <reference field="0" count="1" selected="0">
            <x v="31"/>
          </reference>
          <reference field="3" count="1">
            <x v="2"/>
          </reference>
        </references>
      </pivotArea>
    </format>
    <format dxfId="1019">
      <pivotArea dataOnly="0" labelOnly="1" outline="0" fieldPosition="0">
        <references count="2">
          <reference field="0" count="1" selected="0">
            <x v="32"/>
          </reference>
          <reference field="3" count="1">
            <x v="1"/>
          </reference>
        </references>
      </pivotArea>
    </format>
    <format dxfId="1018">
      <pivotArea dataOnly="0" labelOnly="1" outline="0" fieldPosition="0">
        <references count="2">
          <reference field="0" count="1" selected="0">
            <x v="34"/>
          </reference>
          <reference field="3" count="1">
            <x v="4"/>
          </reference>
        </references>
      </pivotArea>
    </format>
    <format dxfId="1017">
      <pivotArea dataOnly="0" labelOnly="1" outline="0" fieldPosition="0">
        <references count="2">
          <reference field="0" count="1" selected="0">
            <x v="35"/>
          </reference>
          <reference field="3" count="1">
            <x v="2"/>
          </reference>
        </references>
      </pivotArea>
    </format>
    <format dxfId="1016">
      <pivotArea dataOnly="0" labelOnly="1" outline="0" fieldPosition="0">
        <references count="2">
          <reference field="0" count="1" selected="0">
            <x v="36"/>
          </reference>
          <reference field="3" count="1">
            <x v="3"/>
          </reference>
        </references>
      </pivotArea>
    </format>
    <format dxfId="1015">
      <pivotArea dataOnly="0" labelOnly="1" outline="0" fieldPosition="0">
        <references count="2">
          <reference field="0" count="1" selected="0">
            <x v="37"/>
          </reference>
          <reference field="3" count="1">
            <x v="8"/>
          </reference>
        </references>
      </pivotArea>
    </format>
    <format dxfId="1014">
      <pivotArea dataOnly="0" labelOnly="1" outline="0" fieldPosition="0">
        <references count="2">
          <reference field="0" count="1" selected="0">
            <x v="38"/>
          </reference>
          <reference field="3" count="3">
            <x v="3"/>
            <x v="5"/>
            <x v="6"/>
          </reference>
        </references>
      </pivotArea>
    </format>
    <format dxfId="1013">
      <pivotArea dataOnly="0" labelOnly="1" outline="0" fieldPosition="0">
        <references count="2">
          <reference field="0" count="1" selected="0">
            <x v="40"/>
          </reference>
          <reference field="3" count="1">
            <x v="2"/>
          </reference>
        </references>
      </pivotArea>
    </format>
    <format dxfId="1012">
      <pivotArea dataOnly="0" labelOnly="1" outline="0" fieldPosition="0">
        <references count="2">
          <reference field="0" count="1" selected="0">
            <x v="41"/>
          </reference>
          <reference field="3" count="1">
            <x v="1"/>
          </reference>
        </references>
      </pivotArea>
    </format>
    <format dxfId="1011">
      <pivotArea dataOnly="0" labelOnly="1" outline="0" fieldPosition="0">
        <references count="2">
          <reference field="0" count="1" selected="0">
            <x v="42"/>
          </reference>
          <reference field="3" count="1">
            <x v="1"/>
          </reference>
        </references>
      </pivotArea>
    </format>
    <format dxfId="1010">
      <pivotArea dataOnly="0" labelOnly="1" outline="0" fieldPosition="0">
        <references count="2">
          <reference field="0" count="1" selected="0">
            <x v="43"/>
          </reference>
          <reference field="3" count="1">
            <x v="1"/>
          </reference>
        </references>
      </pivotArea>
    </format>
    <format dxfId="1009">
      <pivotArea dataOnly="0" labelOnly="1" outline="0" fieldPosition="0">
        <references count="2">
          <reference field="0" count="1" selected="0">
            <x v="44"/>
          </reference>
          <reference field="3" count="3">
            <x v="3"/>
            <x v="4"/>
            <x v="5"/>
          </reference>
        </references>
      </pivotArea>
    </format>
    <format dxfId="1008">
      <pivotArea dataOnly="0" labelOnly="1" outline="0" fieldPosition="0">
        <references count="2">
          <reference field="0" count="1" selected="0">
            <x v="45"/>
          </reference>
          <reference field="3" count="2">
            <x v="5"/>
            <x v="8"/>
          </reference>
        </references>
      </pivotArea>
    </format>
    <format dxfId="1007">
      <pivotArea dataOnly="0" labelOnly="1" outline="0" fieldPosition="0">
        <references count="2">
          <reference field="0" count="1" selected="0">
            <x v="46"/>
          </reference>
          <reference field="3" count="2">
            <x v="5"/>
            <x v="8"/>
          </reference>
        </references>
      </pivotArea>
    </format>
    <format dxfId="1006">
      <pivotArea dataOnly="0" labelOnly="1" outline="0" fieldPosition="0">
        <references count="2">
          <reference field="0" count="1" selected="0">
            <x v="47"/>
          </reference>
          <reference field="3" count="1">
            <x v="5"/>
          </reference>
        </references>
      </pivotArea>
    </format>
    <format dxfId="1005">
      <pivotArea dataOnly="0" labelOnly="1" outline="0" fieldPosition="0">
        <references count="2">
          <reference field="0" count="1" selected="0">
            <x v="48"/>
          </reference>
          <reference field="3" count="2">
            <x v="4"/>
            <x v="8"/>
          </reference>
        </references>
      </pivotArea>
    </format>
    <format dxfId="1004">
      <pivotArea dataOnly="0" labelOnly="1" outline="0" fieldPosition="0">
        <references count="2">
          <reference field="0" count="1" selected="0">
            <x v="49"/>
          </reference>
          <reference field="3" count="2">
            <x v="1"/>
            <x v="4"/>
          </reference>
        </references>
      </pivotArea>
    </format>
    <format dxfId="1003">
      <pivotArea dataOnly="0" labelOnly="1" outline="0" fieldPosition="0">
        <references count="2">
          <reference field="0" count="1" selected="0">
            <x v="50"/>
          </reference>
          <reference field="3" count="2">
            <x v="1"/>
            <x v="4"/>
          </reference>
        </references>
      </pivotArea>
    </format>
    <format dxfId="1002">
      <pivotArea dataOnly="0" labelOnly="1" outline="0" fieldPosition="0">
        <references count="2">
          <reference field="0" count="1" selected="0">
            <x v="51"/>
          </reference>
          <reference field="3" count="1">
            <x v="2"/>
          </reference>
        </references>
      </pivotArea>
    </format>
    <format dxfId="1001">
      <pivotArea dataOnly="0" labelOnly="1" outline="0" fieldPosition="0">
        <references count="2">
          <reference field="0" count="1" selected="0">
            <x v="52"/>
          </reference>
          <reference field="3" count="0"/>
        </references>
      </pivotArea>
    </format>
    <format dxfId="1000">
      <pivotArea dataOnly="0" labelOnly="1" outline="0" fieldPosition="0">
        <references count="2">
          <reference field="0" count="1" selected="0">
            <x v="53"/>
          </reference>
          <reference field="3" count="0"/>
        </references>
      </pivotArea>
    </format>
    <format dxfId="999">
      <pivotArea dataOnly="0" labelOnly="1" outline="0" fieldPosition="0">
        <references count="2">
          <reference field="0" count="1" selected="0">
            <x v="54"/>
          </reference>
          <reference field="3" count="0"/>
        </references>
      </pivotArea>
    </format>
    <format dxfId="998">
      <pivotArea dataOnly="0" labelOnly="1" outline="0" fieldPosition="0">
        <references count="2">
          <reference field="0" count="1" selected="0">
            <x v="55"/>
          </reference>
          <reference field="3" count="1">
            <x v="8"/>
          </reference>
        </references>
      </pivotArea>
    </format>
    <format dxfId="997">
      <pivotArea dataOnly="0" labelOnly="1" outline="0" fieldPosition="0">
        <references count="2">
          <reference field="0" count="1" selected="0">
            <x v="56"/>
          </reference>
          <reference field="3" count="0"/>
        </references>
      </pivotArea>
    </format>
    <format dxfId="996">
      <pivotArea dataOnly="0" labelOnly="1" outline="0" fieldPosition="0">
        <references count="2">
          <reference field="0" count="1" selected="0">
            <x v="57"/>
          </reference>
          <reference field="3" count="1">
            <x v="1"/>
          </reference>
        </references>
      </pivotArea>
    </format>
    <format dxfId="995">
      <pivotArea dataOnly="0" labelOnly="1" outline="0" fieldPosition="0">
        <references count="2">
          <reference field="0" count="1" selected="0">
            <x v="58"/>
          </reference>
          <reference field="3" count="1">
            <x v="4"/>
          </reference>
        </references>
      </pivotArea>
    </format>
    <format dxfId="994">
      <pivotArea dataOnly="0" labelOnly="1" outline="0" fieldPosition="0">
        <references count="2">
          <reference field="0" count="1" selected="0">
            <x v="59"/>
          </reference>
          <reference field="3" count="1">
            <x v="1"/>
          </reference>
        </references>
      </pivotArea>
    </format>
    <format dxfId="993">
      <pivotArea dataOnly="0" labelOnly="1" outline="0" fieldPosition="0">
        <references count="2">
          <reference field="0" count="1" selected="0">
            <x v="60"/>
          </reference>
          <reference field="3" count="1">
            <x v="0"/>
          </reference>
        </references>
      </pivotArea>
    </format>
    <format dxfId="992">
      <pivotArea dataOnly="0" labelOnly="1" outline="0" fieldPosition="0">
        <references count="2">
          <reference field="0" count="1" selected="0">
            <x v="61"/>
          </reference>
          <reference field="3" count="1">
            <x v="1"/>
          </reference>
        </references>
      </pivotArea>
    </format>
    <format dxfId="991">
      <pivotArea dataOnly="0" labelOnly="1" outline="0" fieldPosition="0">
        <references count="3">
          <reference field="0" count="1" selected="0">
            <x v="0"/>
          </reference>
          <reference field="3" count="1" selected="0">
            <x v="1"/>
          </reference>
          <reference field="4" count="1">
            <x v="7"/>
          </reference>
        </references>
      </pivotArea>
    </format>
    <format dxfId="990">
      <pivotArea dataOnly="0" labelOnly="1" outline="0" fieldPosition="0">
        <references count="3">
          <reference field="0" count="1" selected="0">
            <x v="0"/>
          </reference>
          <reference field="3" count="1" selected="0">
            <x v="3"/>
          </reference>
          <reference field="4" count="1">
            <x v="1"/>
          </reference>
        </references>
      </pivotArea>
    </format>
    <format dxfId="989">
      <pivotArea dataOnly="0" labelOnly="1" outline="0" fieldPosition="0">
        <references count="3">
          <reference field="0" count="1" selected="0">
            <x v="0"/>
          </reference>
          <reference field="3" count="1" selected="0">
            <x v="4"/>
          </reference>
          <reference field="4" count="1">
            <x v="8"/>
          </reference>
        </references>
      </pivotArea>
    </format>
    <format dxfId="988">
      <pivotArea dataOnly="0" labelOnly="1" outline="0" fieldPosition="0">
        <references count="3">
          <reference field="0" count="1" selected="0">
            <x v="0"/>
          </reference>
          <reference field="3" count="1" selected="0">
            <x v="8"/>
          </reference>
          <reference field="4" count="1">
            <x v="4"/>
          </reference>
        </references>
      </pivotArea>
    </format>
    <format dxfId="987">
      <pivotArea dataOnly="0" labelOnly="1" outline="0" fieldPosition="0">
        <references count="3">
          <reference field="0" count="1" selected="0">
            <x v="1"/>
          </reference>
          <reference field="3" count="1" selected="0">
            <x v="1"/>
          </reference>
          <reference field="4" count="1">
            <x v="7"/>
          </reference>
        </references>
      </pivotArea>
    </format>
    <format dxfId="986">
      <pivotArea dataOnly="0" labelOnly="1" outline="0" fieldPosition="0">
        <references count="3">
          <reference field="0" count="1" selected="0">
            <x v="2"/>
          </reference>
          <reference field="3" count="1" selected="0">
            <x v="1"/>
          </reference>
          <reference field="4" count="1">
            <x v="7"/>
          </reference>
        </references>
      </pivotArea>
    </format>
    <format dxfId="985">
      <pivotArea dataOnly="0" labelOnly="1" outline="0" fieldPosition="0">
        <references count="3">
          <reference field="0" count="1" selected="0">
            <x v="4"/>
          </reference>
          <reference field="3" count="1" selected="0">
            <x v="2"/>
          </reference>
          <reference field="4" count="1">
            <x v="5"/>
          </reference>
        </references>
      </pivotArea>
    </format>
    <format dxfId="984">
      <pivotArea dataOnly="0" labelOnly="1" outline="0" fieldPosition="0">
        <references count="3">
          <reference field="0" count="1" selected="0">
            <x v="4"/>
          </reference>
          <reference field="3" count="1" selected="0">
            <x v="8"/>
          </reference>
          <reference field="4" count="1">
            <x v="4"/>
          </reference>
        </references>
      </pivotArea>
    </format>
    <format dxfId="983">
      <pivotArea dataOnly="0" labelOnly="1" outline="0" fieldPosition="0">
        <references count="3">
          <reference field="0" count="1" selected="0">
            <x v="5"/>
          </reference>
          <reference field="3" count="1" selected="0">
            <x v="2"/>
          </reference>
          <reference field="4" count="1">
            <x v="5"/>
          </reference>
        </references>
      </pivotArea>
    </format>
    <format dxfId="982">
      <pivotArea dataOnly="0" labelOnly="1" outline="0" fieldPosition="0">
        <references count="3">
          <reference field="0" count="1" selected="0">
            <x v="5"/>
          </reference>
          <reference field="3" count="1" selected="0">
            <x v="8"/>
          </reference>
          <reference field="4" count="1">
            <x v="4"/>
          </reference>
        </references>
      </pivotArea>
    </format>
    <format dxfId="981">
      <pivotArea dataOnly="0" labelOnly="1" outline="0" fieldPosition="0">
        <references count="3">
          <reference field="0" count="1" selected="0">
            <x v="6"/>
          </reference>
          <reference field="3" count="1" selected="0">
            <x v="1"/>
          </reference>
          <reference field="4" count="1">
            <x v="7"/>
          </reference>
        </references>
      </pivotArea>
    </format>
    <format dxfId="980">
      <pivotArea dataOnly="0" labelOnly="1" outline="0" fieldPosition="0">
        <references count="3">
          <reference field="0" count="1" selected="0">
            <x v="9"/>
          </reference>
          <reference field="3" count="1" selected="0">
            <x v="0"/>
          </reference>
          <reference field="4" count="1">
            <x v="6"/>
          </reference>
        </references>
      </pivotArea>
    </format>
    <format dxfId="979">
      <pivotArea dataOnly="0" labelOnly="1" outline="0" fieldPosition="0">
        <references count="3">
          <reference field="0" count="1" selected="0">
            <x v="9"/>
          </reference>
          <reference field="3" count="1" selected="0">
            <x v="4"/>
          </reference>
          <reference field="4" count="1">
            <x v="8"/>
          </reference>
        </references>
      </pivotArea>
    </format>
    <format dxfId="978">
      <pivotArea dataOnly="0" labelOnly="1" outline="0" fieldPosition="0">
        <references count="3">
          <reference field="0" count="1" selected="0">
            <x v="10"/>
          </reference>
          <reference field="3" count="1" selected="0">
            <x v="3"/>
          </reference>
          <reference field="4" count="1">
            <x v="1"/>
          </reference>
        </references>
      </pivotArea>
    </format>
    <format dxfId="977">
      <pivotArea dataOnly="0" labelOnly="1" outline="0" fieldPosition="0">
        <references count="3">
          <reference field="0" count="1" selected="0">
            <x v="12"/>
          </reference>
          <reference field="3" count="1" selected="0">
            <x v="3"/>
          </reference>
          <reference field="4" count="1">
            <x v="1"/>
          </reference>
        </references>
      </pivotArea>
    </format>
    <format dxfId="976">
      <pivotArea dataOnly="0" labelOnly="1" outline="0" fieldPosition="0">
        <references count="3">
          <reference field="0" count="1" selected="0">
            <x v="12"/>
          </reference>
          <reference field="3" count="1" selected="0">
            <x v="6"/>
          </reference>
          <reference field="4" count="1">
            <x v="3"/>
          </reference>
        </references>
      </pivotArea>
    </format>
    <format dxfId="975">
      <pivotArea dataOnly="0" labelOnly="1" outline="0" fieldPosition="0">
        <references count="3">
          <reference field="0" count="1" selected="0">
            <x v="13"/>
          </reference>
          <reference field="3" count="1" selected="0">
            <x v="1"/>
          </reference>
          <reference field="4" count="1">
            <x v="7"/>
          </reference>
        </references>
      </pivotArea>
    </format>
    <format dxfId="974">
      <pivotArea dataOnly="0" labelOnly="1" outline="0" fieldPosition="0">
        <references count="3">
          <reference field="0" count="1" selected="0">
            <x v="13"/>
          </reference>
          <reference field="3" count="1" selected="0">
            <x v="2"/>
          </reference>
          <reference field="4" count="1">
            <x v="5"/>
          </reference>
        </references>
      </pivotArea>
    </format>
    <format dxfId="973">
      <pivotArea dataOnly="0" labelOnly="1" outline="0" fieldPosition="0">
        <references count="3">
          <reference field="0" count="1" selected="0">
            <x v="13"/>
          </reference>
          <reference field="3" count="1" selected="0">
            <x v="5"/>
          </reference>
          <reference field="4" count="1">
            <x v="0"/>
          </reference>
        </references>
      </pivotArea>
    </format>
    <format dxfId="972">
      <pivotArea dataOnly="0" labelOnly="1" outline="0" fieldPosition="0">
        <references count="3">
          <reference field="0" count="1" selected="0">
            <x v="14"/>
          </reference>
          <reference field="3" count="1" selected="0">
            <x v="1"/>
          </reference>
          <reference field="4" count="1">
            <x v="7"/>
          </reference>
        </references>
      </pivotArea>
    </format>
    <format dxfId="971">
      <pivotArea dataOnly="0" labelOnly="1" outline="0" fieldPosition="0">
        <references count="3">
          <reference field="0" count="1" selected="0">
            <x v="14"/>
          </reference>
          <reference field="3" count="1" selected="0">
            <x v="2"/>
          </reference>
          <reference field="4" count="1">
            <x v="5"/>
          </reference>
        </references>
      </pivotArea>
    </format>
    <format dxfId="970">
      <pivotArea dataOnly="0" labelOnly="1" outline="0" fieldPosition="0">
        <references count="3">
          <reference field="0" count="1" selected="0">
            <x v="14"/>
          </reference>
          <reference field="3" count="1" selected="0">
            <x v="5"/>
          </reference>
          <reference field="4" count="1">
            <x v="0"/>
          </reference>
        </references>
      </pivotArea>
    </format>
    <format dxfId="969">
      <pivotArea dataOnly="0" labelOnly="1" outline="0" fieldPosition="0">
        <references count="3">
          <reference field="0" count="1" selected="0">
            <x v="15"/>
          </reference>
          <reference field="3" count="1" selected="0">
            <x v="1"/>
          </reference>
          <reference field="4" count="1">
            <x v="7"/>
          </reference>
        </references>
      </pivotArea>
    </format>
    <format dxfId="968">
      <pivotArea dataOnly="0" labelOnly="1" outline="0" fieldPosition="0">
        <references count="3">
          <reference field="0" count="1" selected="0">
            <x v="17"/>
          </reference>
          <reference field="3" count="1" selected="0">
            <x v="1"/>
          </reference>
          <reference field="4" count="1">
            <x v="7"/>
          </reference>
        </references>
      </pivotArea>
    </format>
    <format dxfId="967">
      <pivotArea dataOnly="0" labelOnly="1" outline="0" fieldPosition="0">
        <references count="3">
          <reference field="0" count="1" selected="0">
            <x v="17"/>
          </reference>
          <reference field="3" count="1" selected="0">
            <x v="3"/>
          </reference>
          <reference field="4" count="1">
            <x v="1"/>
          </reference>
        </references>
      </pivotArea>
    </format>
    <format dxfId="966">
      <pivotArea dataOnly="0" labelOnly="1" outline="0" fieldPosition="0">
        <references count="3">
          <reference field="0" count="1" selected="0">
            <x v="17"/>
          </reference>
          <reference field="3" count="1" selected="0">
            <x v="4"/>
          </reference>
          <reference field="4" count="1">
            <x v="8"/>
          </reference>
        </references>
      </pivotArea>
    </format>
    <format dxfId="965">
      <pivotArea dataOnly="0" labelOnly="1" outline="0" fieldPosition="0">
        <references count="3">
          <reference field="0" count="1" selected="0">
            <x v="18"/>
          </reference>
          <reference field="3" count="1" selected="0">
            <x v="2"/>
          </reference>
          <reference field="4" count="1">
            <x v="5"/>
          </reference>
        </references>
      </pivotArea>
    </format>
    <format dxfId="964">
      <pivotArea dataOnly="0" labelOnly="1" outline="0" fieldPosition="0">
        <references count="3">
          <reference field="0" count="1" selected="0">
            <x v="18"/>
          </reference>
          <reference field="3" count="1" selected="0">
            <x v="8"/>
          </reference>
          <reference field="4" count="1">
            <x v="4"/>
          </reference>
        </references>
      </pivotArea>
    </format>
    <format dxfId="963">
      <pivotArea dataOnly="0" labelOnly="1" outline="0" fieldPosition="0">
        <references count="3">
          <reference field="0" count="1" selected="0">
            <x v="19"/>
          </reference>
          <reference field="3" count="1" selected="0">
            <x v="3"/>
          </reference>
          <reference field="4" count="1">
            <x v="1"/>
          </reference>
        </references>
      </pivotArea>
    </format>
    <format dxfId="962">
      <pivotArea dataOnly="0" labelOnly="1" outline="0" fieldPosition="0">
        <references count="3">
          <reference field="0" count="1" selected="0">
            <x v="19"/>
          </reference>
          <reference field="3" count="1" selected="0">
            <x v="8"/>
          </reference>
          <reference field="4" count="1">
            <x v="4"/>
          </reference>
        </references>
      </pivotArea>
    </format>
    <format dxfId="961">
      <pivotArea dataOnly="0" labelOnly="1" outline="0" fieldPosition="0">
        <references count="3">
          <reference field="0" count="1" selected="0">
            <x v="20"/>
          </reference>
          <reference field="3" count="1" selected="0">
            <x v="1"/>
          </reference>
          <reference field="4" count="1">
            <x v="7"/>
          </reference>
        </references>
      </pivotArea>
    </format>
    <format dxfId="960">
      <pivotArea dataOnly="0" labelOnly="1" outline="0" fieldPosition="0">
        <references count="3">
          <reference field="0" count="1" selected="0">
            <x v="20"/>
          </reference>
          <reference field="3" count="1" selected="0">
            <x v="2"/>
          </reference>
          <reference field="4" count="1">
            <x v="5"/>
          </reference>
        </references>
      </pivotArea>
    </format>
    <format dxfId="959">
      <pivotArea dataOnly="0" labelOnly="1" outline="0" fieldPosition="0">
        <references count="3">
          <reference field="0" count="1" selected="0">
            <x v="20"/>
          </reference>
          <reference field="3" count="1" selected="0">
            <x v="5"/>
          </reference>
          <reference field="4" count="1">
            <x v="0"/>
          </reference>
        </references>
      </pivotArea>
    </format>
    <format dxfId="958">
      <pivotArea dataOnly="0" labelOnly="1" outline="0" fieldPosition="0">
        <references count="3">
          <reference field="0" count="1" selected="0">
            <x v="25"/>
          </reference>
          <reference field="3" count="1" selected="0">
            <x v="0"/>
          </reference>
          <reference field="4" count="1">
            <x v="6"/>
          </reference>
        </references>
      </pivotArea>
    </format>
    <format dxfId="957">
      <pivotArea dataOnly="0" labelOnly="1" outline="0" fieldPosition="0">
        <references count="3">
          <reference field="0" count="1" selected="0">
            <x v="27"/>
          </reference>
          <reference field="3" count="1" selected="0">
            <x v="0"/>
          </reference>
          <reference field="4" count="1">
            <x v="6"/>
          </reference>
        </references>
      </pivotArea>
    </format>
    <format dxfId="956">
      <pivotArea dataOnly="0" labelOnly="1" outline="0" fieldPosition="0">
        <references count="3">
          <reference field="0" count="1" selected="0">
            <x v="27"/>
          </reference>
          <reference field="3" count="1" selected="0">
            <x v="1"/>
          </reference>
          <reference field="4" count="1">
            <x v="7"/>
          </reference>
        </references>
      </pivotArea>
    </format>
    <format dxfId="955">
      <pivotArea dataOnly="0" labelOnly="1" outline="0" fieldPosition="0">
        <references count="3">
          <reference field="0" count="1" selected="0">
            <x v="27"/>
          </reference>
          <reference field="3" count="1" selected="0">
            <x v="2"/>
          </reference>
          <reference field="4" count="1">
            <x v="5"/>
          </reference>
        </references>
      </pivotArea>
    </format>
    <format dxfId="954">
      <pivotArea dataOnly="0" labelOnly="1" outline="0" fieldPosition="0">
        <references count="3">
          <reference field="0" count="1" selected="0">
            <x v="27"/>
          </reference>
          <reference field="3" count="1" selected="0">
            <x v="3"/>
          </reference>
          <reference field="4" count="1">
            <x v="1"/>
          </reference>
        </references>
      </pivotArea>
    </format>
    <format dxfId="953">
      <pivotArea dataOnly="0" labelOnly="1" outline="0" fieldPosition="0">
        <references count="3">
          <reference field="0" count="1" selected="0">
            <x v="27"/>
          </reference>
          <reference field="3" count="1" selected="0">
            <x v="4"/>
          </reference>
          <reference field="4" count="1">
            <x v="8"/>
          </reference>
        </references>
      </pivotArea>
    </format>
    <format dxfId="952">
      <pivotArea dataOnly="0" labelOnly="1" outline="0" fieldPosition="0">
        <references count="3">
          <reference field="0" count="1" selected="0">
            <x v="27"/>
          </reference>
          <reference field="3" count="1" selected="0">
            <x v="5"/>
          </reference>
          <reference field="4" count="1">
            <x v="0"/>
          </reference>
        </references>
      </pivotArea>
    </format>
    <format dxfId="951">
      <pivotArea dataOnly="0" labelOnly="1" outline="0" fieldPosition="0">
        <references count="3">
          <reference field="0" count="1" selected="0">
            <x v="28"/>
          </reference>
          <reference field="3" count="1" selected="0">
            <x v="1"/>
          </reference>
          <reference field="4" count="1">
            <x v="7"/>
          </reference>
        </references>
      </pivotArea>
    </format>
    <format dxfId="950">
      <pivotArea dataOnly="0" labelOnly="1" outline="0" fieldPosition="0">
        <references count="3">
          <reference field="0" count="1" selected="0">
            <x v="28"/>
          </reference>
          <reference field="3" count="1" selected="0">
            <x v="3"/>
          </reference>
          <reference field="4" count="1">
            <x v="1"/>
          </reference>
        </references>
      </pivotArea>
    </format>
    <format dxfId="949">
      <pivotArea dataOnly="0" labelOnly="1" outline="0" fieldPosition="0">
        <references count="3">
          <reference field="0" count="1" selected="0">
            <x v="28"/>
          </reference>
          <reference field="3" count="1" selected="0">
            <x v="4"/>
          </reference>
          <reference field="4" count="1">
            <x v="8"/>
          </reference>
        </references>
      </pivotArea>
    </format>
    <format dxfId="948">
      <pivotArea dataOnly="0" labelOnly="1" outline="0" fieldPosition="0">
        <references count="3">
          <reference field="0" count="1" selected="0">
            <x v="29"/>
          </reference>
          <reference field="3" count="1" selected="0">
            <x v="3"/>
          </reference>
          <reference field="4" count="1">
            <x v="1"/>
          </reference>
        </references>
      </pivotArea>
    </format>
    <format dxfId="947">
      <pivotArea dataOnly="0" labelOnly="1" outline="0" fieldPosition="0">
        <references count="3">
          <reference field="0" count="1" selected="0">
            <x v="29"/>
          </reference>
          <reference field="3" count="1" selected="0">
            <x v="4"/>
          </reference>
          <reference field="4" count="1">
            <x v="8"/>
          </reference>
        </references>
      </pivotArea>
    </format>
    <format dxfId="946">
      <pivotArea dataOnly="0" labelOnly="1" outline="0" fieldPosition="0">
        <references count="3">
          <reference field="0" count="1" selected="0">
            <x v="31"/>
          </reference>
          <reference field="3" count="1" selected="0">
            <x v="2"/>
          </reference>
          <reference field="4" count="1">
            <x v="5"/>
          </reference>
        </references>
      </pivotArea>
    </format>
    <format dxfId="945">
      <pivotArea dataOnly="0" labelOnly="1" outline="0" fieldPosition="0">
        <references count="3">
          <reference field="0" count="1" selected="0">
            <x v="32"/>
          </reference>
          <reference field="3" count="1" selected="0">
            <x v="1"/>
          </reference>
          <reference field="4" count="1">
            <x v="7"/>
          </reference>
        </references>
      </pivotArea>
    </format>
    <format dxfId="944">
      <pivotArea dataOnly="0" labelOnly="1" outline="0" fieldPosition="0">
        <references count="3">
          <reference field="0" count="1" selected="0">
            <x v="34"/>
          </reference>
          <reference field="3" count="1" selected="0">
            <x v="4"/>
          </reference>
          <reference field="4" count="1">
            <x v="8"/>
          </reference>
        </references>
      </pivotArea>
    </format>
    <format dxfId="943">
      <pivotArea dataOnly="0" labelOnly="1" outline="0" fieldPosition="0">
        <references count="3">
          <reference field="0" count="1" selected="0">
            <x v="35"/>
          </reference>
          <reference field="3" count="1" selected="0">
            <x v="2"/>
          </reference>
          <reference field="4" count="1">
            <x v="5"/>
          </reference>
        </references>
      </pivotArea>
    </format>
    <format dxfId="942">
      <pivotArea dataOnly="0" labelOnly="1" outline="0" fieldPosition="0">
        <references count="3">
          <reference field="0" count="1" selected="0">
            <x v="36"/>
          </reference>
          <reference field="3" count="1" selected="0">
            <x v="3"/>
          </reference>
          <reference field="4" count="1">
            <x v="1"/>
          </reference>
        </references>
      </pivotArea>
    </format>
    <format dxfId="941">
      <pivotArea dataOnly="0" labelOnly="1" outline="0" fieldPosition="0">
        <references count="3">
          <reference field="0" count="1" selected="0">
            <x v="37"/>
          </reference>
          <reference field="3" count="1" selected="0">
            <x v="8"/>
          </reference>
          <reference field="4" count="1">
            <x v="4"/>
          </reference>
        </references>
      </pivotArea>
    </format>
    <format dxfId="940">
      <pivotArea dataOnly="0" labelOnly="1" outline="0" fieldPosition="0">
        <references count="3">
          <reference field="0" count="1" selected="0">
            <x v="38"/>
          </reference>
          <reference field="3" count="1" selected="0">
            <x v="3"/>
          </reference>
          <reference field="4" count="1">
            <x v="1"/>
          </reference>
        </references>
      </pivotArea>
    </format>
    <format dxfId="939">
      <pivotArea dataOnly="0" labelOnly="1" outline="0" fieldPosition="0">
        <references count="3">
          <reference field="0" count="1" selected="0">
            <x v="38"/>
          </reference>
          <reference field="3" count="1" selected="0">
            <x v="5"/>
          </reference>
          <reference field="4" count="1">
            <x v="0"/>
          </reference>
        </references>
      </pivotArea>
    </format>
    <format dxfId="938">
      <pivotArea dataOnly="0" labelOnly="1" outline="0" fieldPosition="0">
        <references count="3">
          <reference field="0" count="1" selected="0">
            <x v="38"/>
          </reference>
          <reference field="3" count="1" selected="0">
            <x v="6"/>
          </reference>
          <reference field="4" count="1">
            <x v="3"/>
          </reference>
        </references>
      </pivotArea>
    </format>
    <format dxfId="937">
      <pivotArea dataOnly="0" labelOnly="1" outline="0" fieldPosition="0">
        <references count="3">
          <reference field="0" count="1" selected="0">
            <x v="40"/>
          </reference>
          <reference field="3" count="1" selected="0">
            <x v="2"/>
          </reference>
          <reference field="4" count="1">
            <x v="5"/>
          </reference>
        </references>
      </pivotArea>
    </format>
    <format dxfId="936">
      <pivotArea dataOnly="0" labelOnly="1" outline="0" fieldPosition="0">
        <references count="3">
          <reference field="0" count="1" selected="0">
            <x v="41"/>
          </reference>
          <reference field="3" count="1" selected="0">
            <x v="1"/>
          </reference>
          <reference field="4" count="1">
            <x v="7"/>
          </reference>
        </references>
      </pivotArea>
    </format>
    <format dxfId="935">
      <pivotArea dataOnly="0" labelOnly="1" outline="0" fieldPosition="0">
        <references count="3">
          <reference field="0" count="1" selected="0">
            <x v="42"/>
          </reference>
          <reference field="3" count="1" selected="0">
            <x v="1"/>
          </reference>
          <reference field="4" count="1">
            <x v="7"/>
          </reference>
        </references>
      </pivotArea>
    </format>
    <format dxfId="934">
      <pivotArea dataOnly="0" labelOnly="1" outline="0" fieldPosition="0">
        <references count="3">
          <reference field="0" count="1" selected="0">
            <x v="43"/>
          </reference>
          <reference field="3" count="1" selected="0">
            <x v="1"/>
          </reference>
          <reference field="4" count="1">
            <x v="7"/>
          </reference>
        </references>
      </pivotArea>
    </format>
    <format dxfId="933">
      <pivotArea dataOnly="0" labelOnly="1" outline="0" fieldPosition="0">
        <references count="3">
          <reference field="0" count="1" selected="0">
            <x v="44"/>
          </reference>
          <reference field="3" count="1" selected="0">
            <x v="3"/>
          </reference>
          <reference field="4" count="1">
            <x v="1"/>
          </reference>
        </references>
      </pivotArea>
    </format>
    <format dxfId="932">
      <pivotArea dataOnly="0" labelOnly="1" outline="0" fieldPosition="0">
        <references count="3">
          <reference field="0" count="1" selected="0">
            <x v="44"/>
          </reference>
          <reference field="3" count="1" selected="0">
            <x v="4"/>
          </reference>
          <reference field="4" count="1">
            <x v="8"/>
          </reference>
        </references>
      </pivotArea>
    </format>
    <format dxfId="931">
      <pivotArea dataOnly="0" labelOnly="1" outline="0" fieldPosition="0">
        <references count="3">
          <reference field="0" count="1" selected="0">
            <x v="44"/>
          </reference>
          <reference field="3" count="1" selected="0">
            <x v="5"/>
          </reference>
          <reference field="4" count="1">
            <x v="0"/>
          </reference>
        </references>
      </pivotArea>
    </format>
    <format dxfId="930">
      <pivotArea dataOnly="0" labelOnly="1" outline="0" fieldPosition="0">
        <references count="3">
          <reference field="0" count="1" selected="0">
            <x v="45"/>
          </reference>
          <reference field="3" count="1" selected="0">
            <x v="5"/>
          </reference>
          <reference field="4" count="1">
            <x v="0"/>
          </reference>
        </references>
      </pivotArea>
    </format>
    <format dxfId="929">
      <pivotArea dataOnly="0" labelOnly="1" outline="0" fieldPosition="0">
        <references count="3">
          <reference field="0" count="1" selected="0">
            <x v="45"/>
          </reference>
          <reference field="3" count="1" selected="0">
            <x v="8"/>
          </reference>
          <reference field="4" count="1">
            <x v="4"/>
          </reference>
        </references>
      </pivotArea>
    </format>
    <format dxfId="928">
      <pivotArea dataOnly="0" labelOnly="1" outline="0" fieldPosition="0">
        <references count="3">
          <reference field="0" count="1" selected="0">
            <x v="46"/>
          </reference>
          <reference field="3" count="1" selected="0">
            <x v="5"/>
          </reference>
          <reference field="4" count="1">
            <x v="0"/>
          </reference>
        </references>
      </pivotArea>
    </format>
    <format dxfId="927">
      <pivotArea dataOnly="0" labelOnly="1" outline="0" fieldPosition="0">
        <references count="3">
          <reference field="0" count="1" selected="0">
            <x v="46"/>
          </reference>
          <reference field="3" count="1" selected="0">
            <x v="8"/>
          </reference>
          <reference field="4" count="1">
            <x v="4"/>
          </reference>
        </references>
      </pivotArea>
    </format>
    <format dxfId="926">
      <pivotArea dataOnly="0" labelOnly="1" outline="0" fieldPosition="0">
        <references count="3">
          <reference field="0" count="1" selected="0">
            <x v="47"/>
          </reference>
          <reference field="3" count="1" selected="0">
            <x v="5"/>
          </reference>
          <reference field="4" count="1">
            <x v="0"/>
          </reference>
        </references>
      </pivotArea>
    </format>
    <format dxfId="925">
      <pivotArea dataOnly="0" labelOnly="1" outline="0" fieldPosition="0">
        <references count="3">
          <reference field="0" count="1" selected="0">
            <x v="48"/>
          </reference>
          <reference field="3" count="1" selected="0">
            <x v="4"/>
          </reference>
          <reference field="4" count="1">
            <x v="8"/>
          </reference>
        </references>
      </pivotArea>
    </format>
    <format dxfId="924">
      <pivotArea dataOnly="0" labelOnly="1" outline="0" fieldPosition="0">
        <references count="3">
          <reference field="0" count="1" selected="0">
            <x v="48"/>
          </reference>
          <reference field="3" count="1" selected="0">
            <x v="8"/>
          </reference>
          <reference field="4" count="1">
            <x v="4"/>
          </reference>
        </references>
      </pivotArea>
    </format>
    <format dxfId="923">
      <pivotArea dataOnly="0" labelOnly="1" outline="0" fieldPosition="0">
        <references count="3">
          <reference field="0" count="1" selected="0">
            <x v="49"/>
          </reference>
          <reference field="3" count="1" selected="0">
            <x v="1"/>
          </reference>
          <reference field="4" count="1">
            <x v="7"/>
          </reference>
        </references>
      </pivotArea>
    </format>
    <format dxfId="922">
      <pivotArea dataOnly="0" labelOnly="1" outline="0" fieldPosition="0">
        <references count="3">
          <reference field="0" count="1" selected="0">
            <x v="49"/>
          </reference>
          <reference field="3" count="1" selected="0">
            <x v="4"/>
          </reference>
          <reference field="4" count="1">
            <x v="8"/>
          </reference>
        </references>
      </pivotArea>
    </format>
    <format dxfId="921">
      <pivotArea dataOnly="0" labelOnly="1" outline="0" fieldPosition="0">
        <references count="3">
          <reference field="0" count="1" selected="0">
            <x v="50"/>
          </reference>
          <reference field="3" count="1" selected="0">
            <x v="1"/>
          </reference>
          <reference field="4" count="1">
            <x v="7"/>
          </reference>
        </references>
      </pivotArea>
    </format>
    <format dxfId="920">
      <pivotArea dataOnly="0" labelOnly="1" outline="0" fieldPosition="0">
        <references count="3">
          <reference field="0" count="1" selected="0">
            <x v="50"/>
          </reference>
          <reference field="3" count="1" selected="0">
            <x v="4"/>
          </reference>
          <reference field="4" count="1">
            <x v="8"/>
          </reference>
        </references>
      </pivotArea>
    </format>
    <format dxfId="919">
      <pivotArea dataOnly="0" labelOnly="1" outline="0" fieldPosition="0">
        <references count="3">
          <reference field="0" count="1" selected="0">
            <x v="51"/>
          </reference>
          <reference field="3" count="1" selected="0">
            <x v="2"/>
          </reference>
          <reference field="4" count="1">
            <x v="5"/>
          </reference>
        </references>
      </pivotArea>
    </format>
    <format dxfId="918">
      <pivotArea dataOnly="0" labelOnly="1" outline="0" fieldPosition="0">
        <references count="3">
          <reference field="0" count="1" selected="0">
            <x v="52"/>
          </reference>
          <reference field="3" count="1" selected="0">
            <x v="0"/>
          </reference>
          <reference field="4" count="1">
            <x v="6"/>
          </reference>
        </references>
      </pivotArea>
    </format>
    <format dxfId="917">
      <pivotArea dataOnly="0" labelOnly="1" outline="0" fieldPosition="0">
        <references count="3">
          <reference field="0" count="1" selected="0">
            <x v="52"/>
          </reference>
          <reference field="3" count="1" selected="0">
            <x v="1"/>
          </reference>
          <reference field="4" count="1">
            <x v="7"/>
          </reference>
        </references>
      </pivotArea>
    </format>
    <format dxfId="916">
      <pivotArea dataOnly="0" labelOnly="1" outline="0" fieldPosition="0">
        <references count="3">
          <reference field="0" count="1" selected="0">
            <x v="52"/>
          </reference>
          <reference field="3" count="1" selected="0">
            <x v="2"/>
          </reference>
          <reference field="4" count="1">
            <x v="5"/>
          </reference>
        </references>
      </pivotArea>
    </format>
    <format dxfId="915">
      <pivotArea dataOnly="0" labelOnly="1" outline="0" fieldPosition="0">
        <references count="3">
          <reference field="0" count="1" selected="0">
            <x v="52"/>
          </reference>
          <reference field="3" count="1" selected="0">
            <x v="3"/>
          </reference>
          <reference field="4" count="1">
            <x v="1"/>
          </reference>
        </references>
      </pivotArea>
    </format>
    <format dxfId="914">
      <pivotArea dataOnly="0" labelOnly="1" outline="0" fieldPosition="0">
        <references count="3">
          <reference field="0" count="1" selected="0">
            <x v="52"/>
          </reference>
          <reference field="3" count="1" selected="0">
            <x v="4"/>
          </reference>
          <reference field="4" count="1">
            <x v="8"/>
          </reference>
        </references>
      </pivotArea>
    </format>
    <format dxfId="913">
      <pivotArea dataOnly="0" labelOnly="1" outline="0" fieldPosition="0">
        <references count="3">
          <reference field="0" count="1" selected="0">
            <x v="52"/>
          </reference>
          <reference field="3" count="1" selected="0">
            <x v="5"/>
          </reference>
          <reference field="4" count="1">
            <x v="0"/>
          </reference>
        </references>
      </pivotArea>
    </format>
    <format dxfId="912">
      <pivotArea dataOnly="0" labelOnly="1" outline="0" fieldPosition="0">
        <references count="3">
          <reference field="0" count="1" selected="0">
            <x v="52"/>
          </reference>
          <reference field="3" count="1" selected="0">
            <x v="6"/>
          </reference>
          <reference field="4" count="1">
            <x v="3"/>
          </reference>
        </references>
      </pivotArea>
    </format>
    <format dxfId="911">
      <pivotArea dataOnly="0" labelOnly="1" outline="0" fieldPosition="0">
        <references count="3">
          <reference field="0" count="1" selected="0">
            <x v="52"/>
          </reference>
          <reference field="3" count="1" selected="0">
            <x v="7"/>
          </reference>
          <reference field="4" count="1">
            <x v="2"/>
          </reference>
        </references>
      </pivotArea>
    </format>
    <format dxfId="910">
      <pivotArea dataOnly="0" labelOnly="1" outline="0" fieldPosition="0">
        <references count="3">
          <reference field="0" count="1" selected="0">
            <x v="52"/>
          </reference>
          <reference field="3" count="1" selected="0">
            <x v="8"/>
          </reference>
          <reference field="4" count="1">
            <x v="4"/>
          </reference>
        </references>
      </pivotArea>
    </format>
    <format dxfId="909">
      <pivotArea dataOnly="0" labelOnly="1" outline="0" fieldPosition="0">
        <references count="3">
          <reference field="0" count="1" selected="0">
            <x v="53"/>
          </reference>
          <reference field="3" count="1" selected="0">
            <x v="0"/>
          </reference>
          <reference field="4" count="1">
            <x v="6"/>
          </reference>
        </references>
      </pivotArea>
    </format>
    <format dxfId="908">
      <pivotArea dataOnly="0" labelOnly="1" outline="0" fieldPosition="0">
        <references count="3">
          <reference field="0" count="1" selected="0">
            <x v="53"/>
          </reference>
          <reference field="3" count="1" selected="0">
            <x v="1"/>
          </reference>
          <reference field="4" count="1">
            <x v="7"/>
          </reference>
        </references>
      </pivotArea>
    </format>
    <format dxfId="907">
      <pivotArea dataOnly="0" labelOnly="1" outline="0" fieldPosition="0">
        <references count="3">
          <reference field="0" count="1" selected="0">
            <x v="53"/>
          </reference>
          <reference field="3" count="1" selected="0">
            <x v="2"/>
          </reference>
          <reference field="4" count="1">
            <x v="5"/>
          </reference>
        </references>
      </pivotArea>
    </format>
    <format dxfId="906">
      <pivotArea dataOnly="0" labelOnly="1" outline="0" fieldPosition="0">
        <references count="3">
          <reference field="0" count="1" selected="0">
            <x v="53"/>
          </reference>
          <reference field="3" count="1" selected="0">
            <x v="3"/>
          </reference>
          <reference field="4" count="1">
            <x v="1"/>
          </reference>
        </references>
      </pivotArea>
    </format>
    <format dxfId="905">
      <pivotArea dataOnly="0" labelOnly="1" outline="0" fieldPosition="0">
        <references count="3">
          <reference field="0" count="1" selected="0">
            <x v="53"/>
          </reference>
          <reference field="3" count="1" selected="0">
            <x v="4"/>
          </reference>
          <reference field="4" count="1">
            <x v="8"/>
          </reference>
        </references>
      </pivotArea>
    </format>
    <format dxfId="904">
      <pivotArea dataOnly="0" labelOnly="1" outline="0" fieldPosition="0">
        <references count="3">
          <reference field="0" count="1" selected="0">
            <x v="53"/>
          </reference>
          <reference field="3" count="1" selected="0">
            <x v="5"/>
          </reference>
          <reference field="4" count="1">
            <x v="0"/>
          </reference>
        </references>
      </pivotArea>
    </format>
    <format dxfId="903">
      <pivotArea dataOnly="0" labelOnly="1" outline="0" fieldPosition="0">
        <references count="3">
          <reference field="0" count="1" selected="0">
            <x v="53"/>
          </reference>
          <reference field="3" count="1" selected="0">
            <x v="6"/>
          </reference>
          <reference field="4" count="1">
            <x v="3"/>
          </reference>
        </references>
      </pivotArea>
    </format>
    <format dxfId="902">
      <pivotArea dataOnly="0" labelOnly="1" outline="0" fieldPosition="0">
        <references count="3">
          <reference field="0" count="1" selected="0">
            <x v="53"/>
          </reference>
          <reference field="3" count="1" selected="0">
            <x v="7"/>
          </reference>
          <reference field="4" count="1">
            <x v="2"/>
          </reference>
        </references>
      </pivotArea>
    </format>
    <format dxfId="901">
      <pivotArea dataOnly="0" labelOnly="1" outline="0" fieldPosition="0">
        <references count="3">
          <reference field="0" count="1" selected="0">
            <x v="53"/>
          </reference>
          <reference field="3" count="1" selected="0">
            <x v="8"/>
          </reference>
          <reference field="4" count="1">
            <x v="4"/>
          </reference>
        </references>
      </pivotArea>
    </format>
    <format dxfId="900">
      <pivotArea dataOnly="0" labelOnly="1" outline="0" fieldPosition="0">
        <references count="3">
          <reference field="0" count="1" selected="0">
            <x v="54"/>
          </reference>
          <reference field="3" count="1" selected="0">
            <x v="0"/>
          </reference>
          <reference field="4" count="1">
            <x v="6"/>
          </reference>
        </references>
      </pivotArea>
    </format>
    <format dxfId="899">
      <pivotArea dataOnly="0" labelOnly="1" outline="0" fieldPosition="0">
        <references count="3">
          <reference field="0" count="1" selected="0">
            <x v="54"/>
          </reference>
          <reference field="3" count="1" selected="0">
            <x v="1"/>
          </reference>
          <reference field="4" count="1">
            <x v="7"/>
          </reference>
        </references>
      </pivotArea>
    </format>
    <format dxfId="898">
      <pivotArea dataOnly="0" labelOnly="1" outline="0" fieldPosition="0">
        <references count="3">
          <reference field="0" count="1" selected="0">
            <x v="54"/>
          </reference>
          <reference field="3" count="1" selected="0">
            <x v="2"/>
          </reference>
          <reference field="4" count="1">
            <x v="5"/>
          </reference>
        </references>
      </pivotArea>
    </format>
    <format dxfId="897">
      <pivotArea dataOnly="0" labelOnly="1" outline="0" fieldPosition="0">
        <references count="3">
          <reference field="0" count="1" selected="0">
            <x v="54"/>
          </reference>
          <reference field="3" count="1" selected="0">
            <x v="3"/>
          </reference>
          <reference field="4" count="1">
            <x v="1"/>
          </reference>
        </references>
      </pivotArea>
    </format>
    <format dxfId="896">
      <pivotArea dataOnly="0" labelOnly="1" outline="0" fieldPosition="0">
        <references count="3">
          <reference field="0" count="1" selected="0">
            <x v="54"/>
          </reference>
          <reference field="3" count="1" selected="0">
            <x v="4"/>
          </reference>
          <reference field="4" count="1">
            <x v="8"/>
          </reference>
        </references>
      </pivotArea>
    </format>
    <format dxfId="895">
      <pivotArea dataOnly="0" labelOnly="1" outline="0" fieldPosition="0">
        <references count="3">
          <reference field="0" count="1" selected="0">
            <x v="54"/>
          </reference>
          <reference field="3" count="1" selected="0">
            <x v="5"/>
          </reference>
          <reference field="4" count="1">
            <x v="0"/>
          </reference>
        </references>
      </pivotArea>
    </format>
    <format dxfId="894">
      <pivotArea dataOnly="0" labelOnly="1" outline="0" fieldPosition="0">
        <references count="3">
          <reference field="0" count="1" selected="0">
            <x v="54"/>
          </reference>
          <reference field="3" count="1" selected="0">
            <x v="6"/>
          </reference>
          <reference field="4" count="1">
            <x v="3"/>
          </reference>
        </references>
      </pivotArea>
    </format>
    <format dxfId="893">
      <pivotArea dataOnly="0" labelOnly="1" outline="0" fieldPosition="0">
        <references count="3">
          <reference field="0" count="1" selected="0">
            <x v="54"/>
          </reference>
          <reference field="3" count="1" selected="0">
            <x v="7"/>
          </reference>
          <reference field="4" count="1">
            <x v="2"/>
          </reference>
        </references>
      </pivotArea>
    </format>
    <format dxfId="892">
      <pivotArea dataOnly="0" labelOnly="1" outline="0" fieldPosition="0">
        <references count="3">
          <reference field="0" count="1" selected="0">
            <x v="54"/>
          </reference>
          <reference field="3" count="1" selected="0">
            <x v="8"/>
          </reference>
          <reference field="4" count="1">
            <x v="4"/>
          </reference>
        </references>
      </pivotArea>
    </format>
    <format dxfId="891">
      <pivotArea dataOnly="0" labelOnly="1" outline="0" fieldPosition="0">
        <references count="3">
          <reference field="0" count="1" selected="0">
            <x v="55"/>
          </reference>
          <reference field="3" count="1" selected="0">
            <x v="8"/>
          </reference>
          <reference field="4" count="1">
            <x v="4"/>
          </reference>
        </references>
      </pivotArea>
    </format>
    <format dxfId="890">
      <pivotArea dataOnly="0" labelOnly="1" outline="0" fieldPosition="0">
        <references count="3">
          <reference field="0" count="1" selected="0">
            <x v="56"/>
          </reference>
          <reference field="3" count="1" selected="0">
            <x v="0"/>
          </reference>
          <reference field="4" count="1">
            <x v="6"/>
          </reference>
        </references>
      </pivotArea>
    </format>
    <format dxfId="889">
      <pivotArea dataOnly="0" labelOnly="1" outline="0" fieldPosition="0">
        <references count="3">
          <reference field="0" count="1" selected="0">
            <x v="56"/>
          </reference>
          <reference field="3" count="1" selected="0">
            <x v="1"/>
          </reference>
          <reference field="4" count="1">
            <x v="7"/>
          </reference>
        </references>
      </pivotArea>
    </format>
    <format dxfId="888">
      <pivotArea dataOnly="0" labelOnly="1" outline="0" fieldPosition="0">
        <references count="3">
          <reference field="0" count="1" selected="0">
            <x v="56"/>
          </reference>
          <reference field="3" count="1" selected="0">
            <x v="2"/>
          </reference>
          <reference field="4" count="1">
            <x v="5"/>
          </reference>
        </references>
      </pivotArea>
    </format>
    <format dxfId="887">
      <pivotArea dataOnly="0" labelOnly="1" outline="0" fieldPosition="0">
        <references count="3">
          <reference field="0" count="1" selected="0">
            <x v="56"/>
          </reference>
          <reference field="3" count="1" selected="0">
            <x v="3"/>
          </reference>
          <reference field="4" count="1">
            <x v="1"/>
          </reference>
        </references>
      </pivotArea>
    </format>
    <format dxfId="886">
      <pivotArea dataOnly="0" labelOnly="1" outline="0" fieldPosition="0">
        <references count="3">
          <reference field="0" count="1" selected="0">
            <x v="56"/>
          </reference>
          <reference field="3" count="1" selected="0">
            <x v="4"/>
          </reference>
          <reference field="4" count="1">
            <x v="8"/>
          </reference>
        </references>
      </pivotArea>
    </format>
    <format dxfId="885">
      <pivotArea dataOnly="0" labelOnly="1" outline="0" fieldPosition="0">
        <references count="3">
          <reference field="0" count="1" selected="0">
            <x v="56"/>
          </reference>
          <reference field="3" count="1" selected="0">
            <x v="5"/>
          </reference>
          <reference field="4" count="1">
            <x v="0"/>
          </reference>
        </references>
      </pivotArea>
    </format>
    <format dxfId="884">
      <pivotArea dataOnly="0" labelOnly="1" outline="0" fieldPosition="0">
        <references count="3">
          <reference field="0" count="1" selected="0">
            <x v="56"/>
          </reference>
          <reference field="3" count="1" selected="0">
            <x v="6"/>
          </reference>
          <reference field="4" count="1">
            <x v="3"/>
          </reference>
        </references>
      </pivotArea>
    </format>
    <format dxfId="883">
      <pivotArea dataOnly="0" labelOnly="1" outline="0" fieldPosition="0">
        <references count="3">
          <reference field="0" count="1" selected="0">
            <x v="56"/>
          </reference>
          <reference field="3" count="1" selected="0">
            <x v="7"/>
          </reference>
          <reference field="4" count="1">
            <x v="2"/>
          </reference>
        </references>
      </pivotArea>
    </format>
    <format dxfId="882">
      <pivotArea dataOnly="0" labelOnly="1" outline="0" fieldPosition="0">
        <references count="3">
          <reference field="0" count="1" selected="0">
            <x v="56"/>
          </reference>
          <reference field="3" count="1" selected="0">
            <x v="8"/>
          </reference>
          <reference field="4" count="1">
            <x v="4"/>
          </reference>
        </references>
      </pivotArea>
    </format>
    <format dxfId="881">
      <pivotArea dataOnly="0" labelOnly="1" outline="0" fieldPosition="0">
        <references count="3">
          <reference field="0" count="1" selected="0">
            <x v="57"/>
          </reference>
          <reference field="3" count="1" selected="0">
            <x v="1"/>
          </reference>
          <reference field="4" count="1">
            <x v="7"/>
          </reference>
        </references>
      </pivotArea>
    </format>
    <format dxfId="880">
      <pivotArea dataOnly="0" labelOnly="1" outline="0" fieldPosition="0">
        <references count="3">
          <reference field="0" count="1" selected="0">
            <x v="58"/>
          </reference>
          <reference field="3" count="1" selected="0">
            <x v="4"/>
          </reference>
          <reference field="4" count="1">
            <x v="8"/>
          </reference>
        </references>
      </pivotArea>
    </format>
    <format dxfId="879">
      <pivotArea dataOnly="0" labelOnly="1" outline="0" fieldPosition="0">
        <references count="3">
          <reference field="0" count="1" selected="0">
            <x v="59"/>
          </reference>
          <reference field="3" count="1" selected="0">
            <x v="1"/>
          </reference>
          <reference field="4" count="1">
            <x v="7"/>
          </reference>
        </references>
      </pivotArea>
    </format>
    <format dxfId="878">
      <pivotArea dataOnly="0" labelOnly="1" outline="0" fieldPosition="0">
        <references count="3">
          <reference field="0" count="1" selected="0">
            <x v="60"/>
          </reference>
          <reference field="3" count="1" selected="0">
            <x v="0"/>
          </reference>
          <reference field="4" count="1">
            <x v="6"/>
          </reference>
        </references>
      </pivotArea>
    </format>
    <format dxfId="877">
      <pivotArea dataOnly="0" labelOnly="1" outline="0" fieldPosition="0">
        <references count="3">
          <reference field="0" count="1" selected="0">
            <x v="61"/>
          </reference>
          <reference field="3" count="1" selected="0">
            <x v="1"/>
          </reference>
          <reference field="4" count="1">
            <x v="7"/>
          </reference>
        </references>
      </pivotArea>
    </format>
    <format dxfId="876">
      <pivotArea dataOnly="0" labelOnly="1" outline="0" fieldPosition="0">
        <references count="1">
          <reference field="4294967294" count="2">
            <x v="0"/>
            <x v="1"/>
          </reference>
        </references>
      </pivotArea>
    </format>
    <format dxfId="875">
      <pivotArea outline="0" fieldPosition="0">
        <references count="1">
          <reference field="0" count="1" selected="0" defaultSubtotal="1">
            <x v="0"/>
          </reference>
        </references>
      </pivotArea>
    </format>
    <format dxfId="874">
      <pivotArea dataOnly="0" labelOnly="1" outline="0" fieldPosition="0">
        <references count="1">
          <reference field="0" count="1" defaultSubtotal="1">
            <x v="0"/>
          </reference>
        </references>
      </pivotArea>
    </format>
    <format dxfId="873">
      <pivotArea outline="0" fieldPosition="0">
        <references count="1">
          <reference field="0" count="1" selected="0" defaultSubtotal="1">
            <x v="0"/>
          </reference>
        </references>
      </pivotArea>
    </format>
    <format dxfId="872">
      <pivotArea dataOnly="0" labelOnly="1" outline="0" fieldPosition="0">
        <references count="1">
          <reference field="0" count="1" defaultSubtotal="1">
            <x v="0"/>
          </reference>
        </references>
      </pivotArea>
    </format>
    <format dxfId="871">
      <pivotArea outline="0" fieldPosition="0">
        <references count="1">
          <reference field="0" count="1" selected="0" defaultSubtotal="1">
            <x v="0"/>
          </reference>
        </references>
      </pivotArea>
    </format>
    <format dxfId="870">
      <pivotArea dataOnly="0" labelOnly="1" outline="0" fieldPosition="0">
        <references count="1">
          <reference field="0" count="1" defaultSubtotal="1">
            <x v="0"/>
          </reference>
        </references>
      </pivotArea>
    </format>
    <format dxfId="869">
      <pivotArea outline="0" fieldPosition="0">
        <references count="1">
          <reference field="0" count="1" selected="0" defaultSubtotal="1">
            <x v="0"/>
          </reference>
        </references>
      </pivotArea>
    </format>
    <format dxfId="868">
      <pivotArea dataOnly="0" labelOnly="1" outline="0" fieldPosition="0">
        <references count="1">
          <reference field="0" count="1" defaultSubtotal="1">
            <x v="0"/>
          </reference>
        </references>
      </pivotArea>
    </format>
    <format dxfId="867">
      <pivotArea dataOnly="0" outline="0" fieldPosition="0">
        <references count="1">
          <reference field="0" count="0" defaultSubtotal="1"/>
        </references>
      </pivotArea>
    </format>
    <format dxfId="866">
      <pivotArea dataOnly="0" grandRow="1" outline="0" fieldPosition="0"/>
    </format>
    <format dxfId="865">
      <pivotArea dataOnly="0" grandRow="1" outline="0" fieldPosition="0"/>
    </format>
    <format dxfId="864">
      <pivotArea dataOnly="0"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CE5597-61D4-4444-BE0C-2CB18CA95805}" sourceName="Category">
  <pivotTables>
    <pivotTable tabId="6" name="PivotTable1"/>
  </pivotTables>
  <data>
    <tabular pivotCacheId="370774250">
      <items count="6">
        <i x="2" s="1"/>
        <i x="3"/>
        <i x="1"/>
        <i x="4"/>
        <i x="0"/>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2119A26-0D2A-4D28-BAD4-18460DBF285E}" cache="Slicer_Category" caption="Category" rowHeight="241300"/>
</slicer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B10D-FE12-4F7D-BBFC-3096B982AC5F}">
  <dimension ref="A2:E169"/>
  <sheetViews>
    <sheetView showGridLines="0" tabSelected="1" workbookViewId="0">
      <pane ySplit="4" topLeftCell="A5" activePane="bottomLeft" state="frozen"/>
      <selection pane="bottomLeft" activeCell="N7" sqref="N7"/>
    </sheetView>
  </sheetViews>
  <sheetFormatPr defaultRowHeight="13.8"/>
  <cols>
    <col min="1" max="1" width="20.09765625" bestFit="1" customWidth="1"/>
    <col min="2" max="2" width="13.3984375" bestFit="1" customWidth="1"/>
    <col min="3" max="3" width="37.3984375" bestFit="1" customWidth="1"/>
    <col min="4" max="4" width="14" style="18" bestFit="1" customWidth="1"/>
    <col min="5" max="5" width="10.59765625" bestFit="1" customWidth="1"/>
  </cols>
  <sheetData>
    <row r="2" spans="1:5" ht="53.4" customHeight="1"/>
    <row r="3" spans="1:5">
      <c r="A3" s="31"/>
      <c r="B3" s="31"/>
      <c r="C3" s="31"/>
      <c r="D3" s="31" t="s">
        <v>50</v>
      </c>
      <c r="E3" s="32"/>
    </row>
    <row r="4" spans="1:5">
      <c r="A4" s="31" t="s">
        <v>38</v>
      </c>
      <c r="B4" s="31" t="s">
        <v>36</v>
      </c>
      <c r="C4" s="31" t="s">
        <v>37</v>
      </c>
      <c r="D4" s="31" t="s">
        <v>44</v>
      </c>
      <c r="E4" s="31" t="s">
        <v>51</v>
      </c>
    </row>
    <row r="5" spans="1:5">
      <c r="A5" s="33" t="s">
        <v>26</v>
      </c>
      <c r="B5" s="33">
        <v>6287020840012</v>
      </c>
      <c r="C5" s="33" t="s">
        <v>28</v>
      </c>
      <c r="D5" s="34">
        <v>2</v>
      </c>
      <c r="E5" s="35">
        <v>268.69565217391306</v>
      </c>
    </row>
    <row r="6" spans="1:5">
      <c r="A6" s="33"/>
      <c r="B6" s="33">
        <v>6287020840067</v>
      </c>
      <c r="C6" s="33" t="s">
        <v>32</v>
      </c>
      <c r="D6" s="34">
        <v>1</v>
      </c>
      <c r="E6" s="35">
        <v>160.43478260869566</v>
      </c>
    </row>
    <row r="7" spans="1:5">
      <c r="A7" s="38" t="s">
        <v>86</v>
      </c>
      <c r="B7" s="38"/>
      <c r="C7" s="38"/>
      <c r="D7" s="39">
        <v>3</v>
      </c>
      <c r="E7" s="40">
        <v>429.13043478260875</v>
      </c>
    </row>
    <row r="8" spans="1:5">
      <c r="A8" s="32" t="s">
        <v>84</v>
      </c>
      <c r="B8" s="32"/>
      <c r="C8" s="32"/>
      <c r="D8" s="36">
        <v>3</v>
      </c>
      <c r="E8" s="37">
        <v>429.13043478260875</v>
      </c>
    </row>
    <row r="9" spans="1:5">
      <c r="D9"/>
    </row>
    <row r="10" spans="1:5">
      <c r="D10"/>
    </row>
    <row r="11" spans="1:5">
      <c r="D11"/>
    </row>
    <row r="12" spans="1:5">
      <c r="D12"/>
    </row>
    <row r="13" spans="1:5">
      <c r="D13"/>
    </row>
    <row r="14" spans="1:5">
      <c r="D14"/>
    </row>
    <row r="15" spans="1:5">
      <c r="D15"/>
    </row>
    <row r="16" spans="1:5">
      <c r="D16"/>
    </row>
    <row r="17" spans="4:4">
      <c r="D17"/>
    </row>
    <row r="18" spans="4:4">
      <c r="D18"/>
    </row>
    <row r="19" spans="4:4">
      <c r="D19"/>
    </row>
    <row r="20" spans="4:4">
      <c r="D20"/>
    </row>
    <row r="21" spans="4:4">
      <c r="D21"/>
    </row>
    <row r="22" spans="4:4">
      <c r="D22"/>
    </row>
    <row r="23" spans="4:4">
      <c r="D23"/>
    </row>
    <row r="24" spans="4:4">
      <c r="D24"/>
    </row>
    <row r="25" spans="4:4">
      <c r="D25"/>
    </row>
    <row r="26" spans="4:4">
      <c r="D26"/>
    </row>
    <row r="27" spans="4:4">
      <c r="D27"/>
    </row>
    <row r="28" spans="4:4">
      <c r="D28"/>
    </row>
    <row r="29" spans="4:4">
      <c r="D29"/>
    </row>
    <row r="30" spans="4:4">
      <c r="D30"/>
    </row>
    <row r="31" spans="4:4">
      <c r="D31"/>
    </row>
    <row r="32" spans="4:4">
      <c r="D32"/>
    </row>
    <row r="33" spans="4:4">
      <c r="D33"/>
    </row>
    <row r="34" spans="4:4">
      <c r="D34"/>
    </row>
    <row r="35" spans="4:4">
      <c r="D35"/>
    </row>
    <row r="36" spans="4:4">
      <c r="D36"/>
    </row>
    <row r="37" spans="4:4">
      <c r="D37"/>
    </row>
    <row r="38" spans="4:4">
      <c r="D38"/>
    </row>
    <row r="39" spans="4:4">
      <c r="D39"/>
    </row>
    <row r="40" spans="4:4">
      <c r="D40"/>
    </row>
    <row r="41" spans="4:4">
      <c r="D41"/>
    </row>
    <row r="42" spans="4:4">
      <c r="D42"/>
    </row>
    <row r="43" spans="4:4">
      <c r="D43"/>
    </row>
    <row r="44" spans="4:4">
      <c r="D44"/>
    </row>
    <row r="45" spans="4:4">
      <c r="D45"/>
    </row>
    <row r="46" spans="4:4">
      <c r="D46"/>
    </row>
    <row r="47" spans="4:4">
      <c r="D47"/>
    </row>
    <row r="48" spans="4:4">
      <c r="D48"/>
    </row>
    <row r="49" spans="4:4">
      <c r="D49"/>
    </row>
    <row r="50" spans="4:4">
      <c r="D50"/>
    </row>
    <row r="51" spans="4:4">
      <c r="D51"/>
    </row>
    <row r="52" spans="4:4">
      <c r="D52"/>
    </row>
    <row r="53" spans="4:4">
      <c r="D53"/>
    </row>
    <row r="54" spans="4:4">
      <c r="D54"/>
    </row>
    <row r="55" spans="4:4">
      <c r="D55"/>
    </row>
    <row r="56" spans="4:4">
      <c r="D56"/>
    </row>
    <row r="57" spans="4:4">
      <c r="D57"/>
    </row>
    <row r="58" spans="4:4">
      <c r="D58"/>
    </row>
    <row r="59" spans="4:4">
      <c r="D59"/>
    </row>
    <row r="60" spans="4:4">
      <c r="D60"/>
    </row>
    <row r="61" spans="4:4">
      <c r="D61"/>
    </row>
    <row r="62" spans="4:4">
      <c r="D62"/>
    </row>
    <row r="63" spans="4:4">
      <c r="D63"/>
    </row>
    <row r="64" spans="4:4">
      <c r="D64"/>
    </row>
    <row r="65" spans="4:4">
      <c r="D65"/>
    </row>
    <row r="66" spans="4:4">
      <c r="D66"/>
    </row>
    <row r="67" spans="4:4">
      <c r="D67"/>
    </row>
    <row r="68" spans="4:4">
      <c r="D68"/>
    </row>
    <row r="69" spans="4:4">
      <c r="D69"/>
    </row>
    <row r="70" spans="4:4">
      <c r="D70"/>
    </row>
    <row r="71" spans="4:4">
      <c r="D71"/>
    </row>
    <row r="72" spans="4:4">
      <c r="D72"/>
    </row>
    <row r="73" spans="4:4">
      <c r="D73"/>
    </row>
    <row r="74" spans="4:4">
      <c r="D74"/>
    </row>
    <row r="75" spans="4:4">
      <c r="D75"/>
    </row>
    <row r="76" spans="4:4">
      <c r="D76"/>
    </row>
    <row r="77" spans="4:4">
      <c r="D77"/>
    </row>
    <row r="78" spans="4:4">
      <c r="D78"/>
    </row>
    <row r="79" spans="4:4">
      <c r="D79"/>
    </row>
    <row r="80" spans="4:4">
      <c r="D80"/>
    </row>
    <row r="81" spans="4:4">
      <c r="D81"/>
    </row>
    <row r="82" spans="4:4">
      <c r="D82"/>
    </row>
    <row r="83" spans="4:4">
      <c r="D83"/>
    </row>
    <row r="84" spans="4:4">
      <c r="D84"/>
    </row>
    <row r="85" spans="4:4">
      <c r="D85"/>
    </row>
    <row r="86" spans="4:4">
      <c r="D86"/>
    </row>
    <row r="87" spans="4:4">
      <c r="D87"/>
    </row>
    <row r="88" spans="4:4">
      <c r="D88"/>
    </row>
    <row r="89" spans="4:4">
      <c r="D89"/>
    </row>
    <row r="90" spans="4:4">
      <c r="D90"/>
    </row>
    <row r="91" spans="4:4">
      <c r="D91"/>
    </row>
    <row r="92" spans="4:4">
      <c r="D92"/>
    </row>
    <row r="93" spans="4:4">
      <c r="D93"/>
    </row>
    <row r="94" spans="4:4">
      <c r="D94"/>
    </row>
    <row r="95" spans="4:4">
      <c r="D95"/>
    </row>
    <row r="96" spans="4:4">
      <c r="D96"/>
    </row>
    <row r="97" spans="4:4">
      <c r="D97"/>
    </row>
    <row r="98" spans="4:4">
      <c r="D98"/>
    </row>
    <row r="99" spans="4:4">
      <c r="D99"/>
    </row>
    <row r="100" spans="4:4">
      <c r="D100"/>
    </row>
    <row r="101" spans="4:4">
      <c r="D101"/>
    </row>
    <row r="102" spans="4:4">
      <c r="D102"/>
    </row>
    <row r="103" spans="4:4">
      <c r="D103"/>
    </row>
    <row r="104" spans="4:4">
      <c r="D104"/>
    </row>
    <row r="105" spans="4:4">
      <c r="D105"/>
    </row>
    <row r="106" spans="4:4">
      <c r="D106"/>
    </row>
    <row r="107" spans="4:4">
      <c r="D107"/>
    </row>
    <row r="108" spans="4:4">
      <c r="D108"/>
    </row>
    <row r="109" spans="4:4">
      <c r="D109"/>
    </row>
    <row r="110" spans="4:4">
      <c r="D110"/>
    </row>
    <row r="111" spans="4:4">
      <c r="D111"/>
    </row>
    <row r="112" spans="4:4">
      <c r="D112"/>
    </row>
    <row r="113" spans="4:4">
      <c r="D113"/>
    </row>
    <row r="114" spans="4:4">
      <c r="D114"/>
    </row>
    <row r="115" spans="4:4">
      <c r="D115"/>
    </row>
    <row r="116" spans="4:4">
      <c r="D116"/>
    </row>
    <row r="117" spans="4:4">
      <c r="D117"/>
    </row>
    <row r="118" spans="4:4">
      <c r="D118"/>
    </row>
    <row r="119" spans="4:4">
      <c r="D119"/>
    </row>
    <row r="120" spans="4:4">
      <c r="D120"/>
    </row>
    <row r="121" spans="4:4">
      <c r="D121"/>
    </row>
    <row r="122" spans="4:4">
      <c r="D122"/>
    </row>
    <row r="123" spans="4:4">
      <c r="D123"/>
    </row>
    <row r="124" spans="4:4">
      <c r="D124"/>
    </row>
    <row r="125" spans="4:4">
      <c r="D125"/>
    </row>
    <row r="126" spans="4:4">
      <c r="D126"/>
    </row>
    <row r="127" spans="4:4">
      <c r="D127"/>
    </row>
    <row r="128" spans="4:4">
      <c r="D128"/>
    </row>
    <row r="129" spans="4:4">
      <c r="D129"/>
    </row>
    <row r="130" spans="4:4">
      <c r="D130"/>
    </row>
    <row r="131" spans="4:4">
      <c r="D131"/>
    </row>
    <row r="132" spans="4:4">
      <c r="D132"/>
    </row>
    <row r="133" spans="4:4">
      <c r="D133"/>
    </row>
    <row r="134" spans="4:4">
      <c r="D134"/>
    </row>
    <row r="135" spans="4:4">
      <c r="D135"/>
    </row>
    <row r="136" spans="4:4">
      <c r="D136"/>
    </row>
    <row r="137" spans="4:4">
      <c r="D137"/>
    </row>
    <row r="138" spans="4:4">
      <c r="D138"/>
    </row>
    <row r="139" spans="4:4">
      <c r="D139"/>
    </row>
    <row r="140" spans="4:4">
      <c r="D140"/>
    </row>
    <row r="141" spans="4:4">
      <c r="D141"/>
    </row>
    <row r="142" spans="4:4">
      <c r="D142"/>
    </row>
    <row r="143" spans="4:4">
      <c r="D143"/>
    </row>
    <row r="144" spans="4:4">
      <c r="D144"/>
    </row>
    <row r="145" spans="4:4">
      <c r="D145"/>
    </row>
    <row r="146" spans="4:4">
      <c r="D146"/>
    </row>
    <row r="147" spans="4:4">
      <c r="D147"/>
    </row>
    <row r="148" spans="4:4">
      <c r="D148"/>
    </row>
    <row r="149" spans="4:4">
      <c r="D149"/>
    </row>
    <row r="150" spans="4:4">
      <c r="D150"/>
    </row>
    <row r="151" spans="4:4">
      <c r="D151"/>
    </row>
    <row r="152" spans="4:4">
      <c r="D152"/>
    </row>
    <row r="153" spans="4:4">
      <c r="D153"/>
    </row>
    <row r="154" spans="4:4">
      <c r="D154"/>
    </row>
    <row r="155" spans="4:4">
      <c r="D155"/>
    </row>
    <row r="156" spans="4:4">
      <c r="D156"/>
    </row>
    <row r="157" spans="4:4">
      <c r="D157"/>
    </row>
    <row r="158" spans="4:4">
      <c r="D158"/>
    </row>
    <row r="159" spans="4:4">
      <c r="D159"/>
    </row>
    <row r="160" spans="4:4">
      <c r="D160"/>
    </row>
    <row r="161" spans="4:4">
      <c r="D161"/>
    </row>
    <row r="162" spans="4:4">
      <c r="D162"/>
    </row>
    <row r="163" spans="4:4">
      <c r="D163"/>
    </row>
    <row r="164" spans="4:4">
      <c r="D164"/>
    </row>
    <row r="165" spans="4:4">
      <c r="D165"/>
    </row>
    <row r="166" spans="4:4">
      <c r="D166"/>
    </row>
    <row r="167" spans="4:4">
      <c r="D167"/>
    </row>
    <row r="168" spans="4:4">
      <c r="D168"/>
    </row>
    <row r="169" spans="4:4">
      <c r="D16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96A48-6E39-4EE6-9155-A97055742611}">
  <dimension ref="A1:G145"/>
  <sheetViews>
    <sheetView showGridLines="0" workbookViewId="0">
      <pane ySplit="1" topLeftCell="A115" activePane="bottomLeft" state="frozen"/>
      <selection pane="bottomLeft" activeCell="A127" sqref="A127"/>
    </sheetView>
  </sheetViews>
  <sheetFormatPr defaultColWidth="20.5" defaultRowHeight="13.8"/>
  <cols>
    <col min="1" max="1" width="15.19921875" bestFit="1" customWidth="1"/>
    <col min="2" max="2" width="12.09765625" bestFit="1" customWidth="1"/>
    <col min="3" max="3" width="20.69921875" bestFit="1" customWidth="1"/>
    <col min="4" max="4" width="13.796875" bestFit="1" customWidth="1"/>
    <col min="5" max="5" width="40.5" bestFit="1" customWidth="1"/>
    <col min="6" max="6" width="9.69921875" style="18" bestFit="1" customWidth="1"/>
    <col min="7" max="7" width="9.69921875" style="18" customWidth="1"/>
  </cols>
  <sheetData>
    <row r="1" spans="1:7" s="28" customFormat="1">
      <c r="A1" s="26" t="s">
        <v>38</v>
      </c>
      <c r="B1" s="26" t="s">
        <v>46</v>
      </c>
      <c r="C1" s="26" t="s">
        <v>65</v>
      </c>
      <c r="D1" s="26" t="s">
        <v>36</v>
      </c>
      <c r="E1" s="26" t="s">
        <v>37</v>
      </c>
      <c r="F1" s="29" t="s">
        <v>39</v>
      </c>
      <c r="G1" s="27" t="s">
        <v>45</v>
      </c>
    </row>
    <row r="2" spans="1:7">
      <c r="A2" s="3" t="s">
        <v>6</v>
      </c>
      <c r="B2" s="22" t="s">
        <v>47</v>
      </c>
      <c r="C2" s="25" t="s">
        <v>83</v>
      </c>
      <c r="D2" s="4">
        <v>6287020840012</v>
      </c>
      <c r="E2" s="2" t="s">
        <v>28</v>
      </c>
      <c r="F2" s="19">
        <v>1</v>
      </c>
      <c r="G2" s="23">
        <f>VLOOKUP(D2,'Item Master'!$A$3:$C$11,3,0)/2*F2</f>
        <v>134.34782608695653</v>
      </c>
    </row>
    <row r="3" spans="1:7">
      <c r="A3" s="3" t="s">
        <v>13</v>
      </c>
      <c r="B3" s="22" t="s">
        <v>47</v>
      </c>
      <c r="C3" s="25" t="s">
        <v>83</v>
      </c>
      <c r="D3" s="4">
        <v>6287020840012</v>
      </c>
      <c r="E3" s="2" t="s">
        <v>28</v>
      </c>
      <c r="F3" s="19">
        <v>1</v>
      </c>
      <c r="G3" s="23">
        <f>VLOOKUP(D3,'Item Master'!$A$3:$C$11,3,0)/2*F3</f>
        <v>134.34782608695653</v>
      </c>
    </row>
    <row r="4" spans="1:7">
      <c r="A4" s="3" t="s">
        <v>71</v>
      </c>
      <c r="B4" s="24" t="s">
        <v>52</v>
      </c>
      <c r="C4" s="25" t="s">
        <v>72</v>
      </c>
      <c r="D4" s="4">
        <v>6287020840012</v>
      </c>
      <c r="E4" s="2" t="s">
        <v>28</v>
      </c>
      <c r="F4" s="19">
        <v>1</v>
      </c>
      <c r="G4" s="23">
        <f>VLOOKUP(D4,'Item Master'!$A$3:$C$11,3,0)/2*F4</f>
        <v>134.34782608695653</v>
      </c>
    </row>
    <row r="5" spans="1:7">
      <c r="A5" s="3" t="s">
        <v>69</v>
      </c>
      <c r="B5" s="24" t="s">
        <v>52</v>
      </c>
      <c r="C5" s="25" t="s">
        <v>72</v>
      </c>
      <c r="D5" s="4">
        <v>6287020840012</v>
      </c>
      <c r="E5" s="2" t="s">
        <v>28</v>
      </c>
      <c r="F5" s="19">
        <v>1</v>
      </c>
      <c r="G5" s="23">
        <f>VLOOKUP(D5,'Item Master'!$A$3:$C$11,3,0)/2*F5</f>
        <v>134.34782608695653</v>
      </c>
    </row>
    <row r="6" spans="1:7">
      <c r="A6" s="3" t="s">
        <v>26</v>
      </c>
      <c r="B6" s="22" t="s">
        <v>49</v>
      </c>
      <c r="C6" s="25" t="s">
        <v>75</v>
      </c>
      <c r="D6" s="4">
        <v>6287020840012</v>
      </c>
      <c r="E6" s="2" t="s">
        <v>28</v>
      </c>
      <c r="F6" s="19">
        <v>2</v>
      </c>
      <c r="G6" s="23">
        <f>VLOOKUP(D6,'Item Master'!$A$3:$C$11,3,0)/2*F6</f>
        <v>268.69565217391306</v>
      </c>
    </row>
    <row r="7" spans="1:7">
      <c r="A7" s="3" t="s">
        <v>70</v>
      </c>
      <c r="B7" s="24" t="s">
        <v>52</v>
      </c>
      <c r="C7" s="25" t="s">
        <v>72</v>
      </c>
      <c r="D7" s="4">
        <v>6287020840012</v>
      </c>
      <c r="E7" s="2" t="s">
        <v>28</v>
      </c>
      <c r="F7" s="19">
        <v>1</v>
      </c>
      <c r="G7" s="23">
        <f>VLOOKUP(D7,'Item Master'!$A$3:$C$11,3,0)/2*F7</f>
        <v>134.34782608695653</v>
      </c>
    </row>
    <row r="8" spans="1:7">
      <c r="A8" s="3" t="s">
        <v>0</v>
      </c>
      <c r="B8" s="22" t="s">
        <v>47</v>
      </c>
      <c r="C8" s="25" t="s">
        <v>83</v>
      </c>
      <c r="D8" s="4">
        <v>6287020840036</v>
      </c>
      <c r="E8" s="2" t="s">
        <v>27</v>
      </c>
      <c r="F8" s="19">
        <v>1</v>
      </c>
      <c r="G8" s="23">
        <f>VLOOKUP(D8,'Item Master'!$A$3:$C$11,3,0)/2*F8</f>
        <v>147.39130434782609</v>
      </c>
    </row>
    <row r="9" spans="1:7">
      <c r="A9" s="3" t="s">
        <v>1</v>
      </c>
      <c r="B9" s="22" t="s">
        <v>47</v>
      </c>
      <c r="C9" s="25" t="s">
        <v>83</v>
      </c>
      <c r="D9" s="4">
        <v>6287020840036</v>
      </c>
      <c r="E9" s="2" t="s">
        <v>27</v>
      </c>
      <c r="F9" s="19">
        <v>1</v>
      </c>
      <c r="G9" s="23">
        <f>VLOOKUP(D9,'Item Master'!$A$3:$C$11,3,0)/2*F9</f>
        <v>147.39130434782609</v>
      </c>
    </row>
    <row r="10" spans="1:7">
      <c r="A10" s="3" t="s">
        <v>2</v>
      </c>
      <c r="B10" s="22" t="s">
        <v>47</v>
      </c>
      <c r="C10" s="25" t="s">
        <v>83</v>
      </c>
      <c r="D10" s="4">
        <v>6287020840036</v>
      </c>
      <c r="E10" s="2" t="s">
        <v>27</v>
      </c>
      <c r="F10" s="19">
        <v>1</v>
      </c>
      <c r="G10" s="23">
        <f>VLOOKUP(D10,'Item Master'!$A$3:$C$11,3,0)/2*F10</f>
        <v>147.39130434782609</v>
      </c>
    </row>
    <row r="11" spans="1:7">
      <c r="A11" s="3" t="s">
        <v>7</v>
      </c>
      <c r="B11" s="22" t="s">
        <v>47</v>
      </c>
      <c r="C11" s="25" t="s">
        <v>83</v>
      </c>
      <c r="D11" s="4">
        <v>6287020840036</v>
      </c>
      <c r="E11" s="2" t="s">
        <v>27</v>
      </c>
      <c r="F11" s="19">
        <v>1</v>
      </c>
      <c r="G11" s="23">
        <f>VLOOKUP(D11,'Item Master'!$A$3:$C$11,3,0)/2*F11</f>
        <v>147.39130434782609</v>
      </c>
    </row>
    <row r="12" spans="1:7">
      <c r="A12" s="24" t="s">
        <v>64</v>
      </c>
      <c r="B12" s="22" t="s">
        <v>47</v>
      </c>
      <c r="C12" s="25" t="s">
        <v>83</v>
      </c>
      <c r="D12" s="4">
        <v>6287020840036</v>
      </c>
      <c r="E12" s="2" t="s">
        <v>27</v>
      </c>
      <c r="F12" s="19">
        <v>1</v>
      </c>
      <c r="G12" s="23">
        <f>VLOOKUP(D12,'Item Master'!$A$3:$C$11,3,0)/2*F12</f>
        <v>147.39130434782609</v>
      </c>
    </row>
    <row r="13" spans="1:7">
      <c r="A13" s="3" t="s">
        <v>12</v>
      </c>
      <c r="B13" s="22" t="s">
        <v>47</v>
      </c>
      <c r="C13" s="25" t="s">
        <v>83</v>
      </c>
      <c r="D13" s="4">
        <v>6287020840036</v>
      </c>
      <c r="E13" s="2" t="s">
        <v>27</v>
      </c>
      <c r="F13" s="19">
        <v>1</v>
      </c>
      <c r="G13" s="23">
        <f>VLOOKUP(D13,'Item Master'!$A$3:$C$11,3,0)/2*F13</f>
        <v>147.39130434782609</v>
      </c>
    </row>
    <row r="14" spans="1:7">
      <c r="A14" s="3" t="s">
        <v>13</v>
      </c>
      <c r="B14" s="22" t="s">
        <v>47</v>
      </c>
      <c r="C14" s="25" t="s">
        <v>83</v>
      </c>
      <c r="D14" s="4">
        <v>6287020840036</v>
      </c>
      <c r="E14" s="2" t="s">
        <v>27</v>
      </c>
      <c r="F14" s="19">
        <v>1</v>
      </c>
      <c r="G14" s="23">
        <f>VLOOKUP(D14,'Item Master'!$A$3:$C$11,3,0)/2*F14</f>
        <v>147.39130434782609</v>
      </c>
    </row>
    <row r="15" spans="1:7">
      <c r="A15" s="3" t="s">
        <v>16</v>
      </c>
      <c r="B15" s="22" t="s">
        <v>48</v>
      </c>
      <c r="C15" s="25" t="s">
        <v>66</v>
      </c>
      <c r="D15" s="4">
        <v>6287020840036</v>
      </c>
      <c r="E15" s="2" t="s">
        <v>27</v>
      </c>
      <c r="F15" s="19">
        <v>1</v>
      </c>
      <c r="G15" s="23">
        <f>VLOOKUP(D15,'Item Master'!$A$3:$C$11,3,0)/2*F15</f>
        <v>147.39130434782609</v>
      </c>
    </row>
    <row r="16" spans="1:7">
      <c r="A16" s="3" t="s">
        <v>17</v>
      </c>
      <c r="B16" s="22" t="s">
        <v>48</v>
      </c>
      <c r="C16" s="25" t="s">
        <v>66</v>
      </c>
      <c r="D16" s="4">
        <v>6287020840036</v>
      </c>
      <c r="E16" s="2" t="s">
        <v>27</v>
      </c>
      <c r="F16" s="19">
        <v>1</v>
      </c>
      <c r="G16" s="23">
        <f>VLOOKUP(D16,'Item Master'!$A$3:$C$11,3,0)/2*F16</f>
        <v>147.39130434782609</v>
      </c>
    </row>
    <row r="17" spans="1:7">
      <c r="A17" s="3" t="s">
        <v>71</v>
      </c>
      <c r="B17" s="25" t="s">
        <v>52</v>
      </c>
      <c r="C17" s="25" t="s">
        <v>72</v>
      </c>
      <c r="D17" s="4">
        <v>6287020840036</v>
      </c>
      <c r="E17" s="2" t="s">
        <v>27</v>
      </c>
      <c r="F17" s="19">
        <v>1</v>
      </c>
      <c r="G17" s="23">
        <f>VLOOKUP(D17,'Item Master'!$A$3:$C$11,3,0)/2*F17</f>
        <v>147.39130434782609</v>
      </c>
    </row>
    <row r="18" spans="1:7">
      <c r="A18" s="3" t="s">
        <v>25</v>
      </c>
      <c r="B18" s="22" t="s">
        <v>47</v>
      </c>
      <c r="C18" s="25" t="s">
        <v>83</v>
      </c>
      <c r="D18" s="4">
        <v>6287020840036</v>
      </c>
      <c r="E18" s="2" t="s">
        <v>27</v>
      </c>
      <c r="F18" s="19">
        <v>1</v>
      </c>
      <c r="G18" s="23">
        <f>VLOOKUP(D18,'Item Master'!$A$3:$C$11,3,0)/2*F18</f>
        <v>147.39130434782609</v>
      </c>
    </row>
    <row r="19" spans="1:7">
      <c r="A19" s="3" t="s">
        <v>69</v>
      </c>
      <c r="B19" s="24" t="s">
        <v>52</v>
      </c>
      <c r="C19" s="25" t="s">
        <v>72</v>
      </c>
      <c r="D19" s="4">
        <v>6287020840036</v>
      </c>
      <c r="E19" s="2" t="s">
        <v>27</v>
      </c>
      <c r="F19" s="19">
        <v>1</v>
      </c>
      <c r="G19" s="23">
        <f>VLOOKUP(D19,'Item Master'!$A$3:$C$11,3,0)/2*F19</f>
        <v>147.39130434782609</v>
      </c>
    </row>
    <row r="20" spans="1:7">
      <c r="A20" s="3" t="s">
        <v>70</v>
      </c>
      <c r="B20" s="24" t="s">
        <v>52</v>
      </c>
      <c r="C20" s="25" t="s">
        <v>72</v>
      </c>
      <c r="D20" s="4">
        <v>6287020840036</v>
      </c>
      <c r="E20" s="2" t="s">
        <v>27</v>
      </c>
      <c r="F20" s="19">
        <v>1</v>
      </c>
      <c r="G20" s="23">
        <f>VLOOKUP(D20,'Item Master'!$A$3:$C$11,3,0)/2*F20</f>
        <v>147.39130434782609</v>
      </c>
    </row>
    <row r="21" spans="1:7">
      <c r="A21" s="3" t="s">
        <v>0</v>
      </c>
      <c r="B21" s="22" t="s">
        <v>47</v>
      </c>
      <c r="C21" s="25" t="s">
        <v>83</v>
      </c>
      <c r="D21" s="4">
        <v>6287020840029</v>
      </c>
      <c r="E21" s="2" t="s">
        <v>29</v>
      </c>
      <c r="F21" s="19">
        <v>1</v>
      </c>
      <c r="G21" s="23">
        <f>VLOOKUP(D21,'Item Master'!$A$3:$C$11,3,0)/2*F21</f>
        <v>186.52173913043501</v>
      </c>
    </row>
    <row r="22" spans="1:7">
      <c r="A22" s="3" t="s">
        <v>1</v>
      </c>
      <c r="B22" s="22" t="s">
        <v>47</v>
      </c>
      <c r="C22" s="25" t="s">
        <v>83</v>
      </c>
      <c r="D22" s="4">
        <v>6287020840029</v>
      </c>
      <c r="E22" s="2" t="s">
        <v>29</v>
      </c>
      <c r="F22" s="19">
        <v>1</v>
      </c>
      <c r="G22" s="23">
        <f>VLOOKUP(D22,'Item Master'!$A$3:$C$11,3,0)/2*F22</f>
        <v>186.52173913043501</v>
      </c>
    </row>
    <row r="23" spans="1:7">
      <c r="A23" s="3" t="s">
        <v>2</v>
      </c>
      <c r="B23" s="25" t="s">
        <v>47</v>
      </c>
      <c r="C23" s="25" t="s">
        <v>83</v>
      </c>
      <c r="D23" s="4">
        <v>6287020840029</v>
      </c>
      <c r="E23" s="2" t="s">
        <v>29</v>
      </c>
      <c r="F23" s="19">
        <v>1</v>
      </c>
      <c r="G23" s="23">
        <f>VLOOKUP(D23,'Item Master'!$A$3:$C$11,3,0)/2*F23</f>
        <v>186.52173913043501</v>
      </c>
    </row>
    <row r="24" spans="1:7">
      <c r="A24" s="24" t="s">
        <v>53</v>
      </c>
      <c r="B24" s="22" t="s">
        <v>47</v>
      </c>
      <c r="C24" s="25" t="s">
        <v>83</v>
      </c>
      <c r="D24" s="4">
        <v>6287020840029</v>
      </c>
      <c r="E24" s="2" t="s">
        <v>29</v>
      </c>
      <c r="F24" s="19">
        <v>2</v>
      </c>
      <c r="G24" s="23">
        <f>VLOOKUP(D24,'Item Master'!$A$3:$C$11,3,0)/2*F24</f>
        <v>373.04347826087002</v>
      </c>
    </row>
    <row r="25" spans="1:7">
      <c r="A25" s="24" t="s">
        <v>54</v>
      </c>
      <c r="B25" s="22" t="s">
        <v>47</v>
      </c>
      <c r="C25" s="25" t="s">
        <v>83</v>
      </c>
      <c r="D25" s="4">
        <v>6287020840029</v>
      </c>
      <c r="E25" s="2" t="s">
        <v>29</v>
      </c>
      <c r="F25" s="19">
        <v>2</v>
      </c>
      <c r="G25" s="23">
        <f>VLOOKUP(D25,'Item Master'!$A$3:$C$11,3,0)/2*F25</f>
        <v>373.04347826087002</v>
      </c>
    </row>
    <row r="26" spans="1:7">
      <c r="A26" s="3" t="s">
        <v>8</v>
      </c>
      <c r="B26" s="22" t="s">
        <v>47</v>
      </c>
      <c r="C26" s="25" t="s">
        <v>83</v>
      </c>
      <c r="D26" s="4">
        <v>6287020840029</v>
      </c>
      <c r="E26" s="2" t="s">
        <v>29</v>
      </c>
      <c r="F26" s="19">
        <v>1</v>
      </c>
      <c r="G26" s="23">
        <f>VLOOKUP(D26,'Item Master'!$A$3:$C$11,3,0)/2*F26</f>
        <v>186.52173913043501</v>
      </c>
    </row>
    <row r="27" spans="1:7">
      <c r="A27" s="3" t="s">
        <v>9</v>
      </c>
      <c r="B27" s="22" t="s">
        <v>47</v>
      </c>
      <c r="C27" s="25" t="s">
        <v>83</v>
      </c>
      <c r="D27" s="4">
        <v>6287020840029</v>
      </c>
      <c r="E27" s="2" t="s">
        <v>29</v>
      </c>
      <c r="F27" s="19">
        <v>1</v>
      </c>
      <c r="G27" s="23">
        <f>VLOOKUP(D27,'Item Master'!$A$3:$C$11,3,0)/2*F27</f>
        <v>186.52173913043501</v>
      </c>
    </row>
    <row r="28" spans="1:7">
      <c r="A28" s="24" t="s">
        <v>10</v>
      </c>
      <c r="B28" s="22" t="s">
        <v>47</v>
      </c>
      <c r="C28" s="25" t="s">
        <v>83</v>
      </c>
      <c r="D28" s="4">
        <v>6287020840029</v>
      </c>
      <c r="E28" s="2" t="s">
        <v>29</v>
      </c>
      <c r="F28" s="19">
        <v>8</v>
      </c>
      <c r="G28" s="23">
        <f>VLOOKUP(D28,'Item Master'!$A$3:$C$11,3,0)/2*F28</f>
        <v>1492.1739130434801</v>
      </c>
    </row>
    <row r="29" spans="1:7">
      <c r="A29" s="3" t="s">
        <v>13</v>
      </c>
      <c r="B29" s="22" t="s">
        <v>47</v>
      </c>
      <c r="C29" s="25" t="s">
        <v>83</v>
      </c>
      <c r="D29" s="4">
        <v>6287020840029</v>
      </c>
      <c r="E29" s="2" t="s">
        <v>29</v>
      </c>
      <c r="F29" s="19">
        <v>1</v>
      </c>
      <c r="G29" s="23">
        <f>VLOOKUP(D29,'Item Master'!$A$3:$C$11,3,0)/2*F29</f>
        <v>186.52173913043501</v>
      </c>
    </row>
    <row r="30" spans="1:7">
      <c r="A30" s="3" t="s">
        <v>14</v>
      </c>
      <c r="B30" s="22" t="s">
        <v>47</v>
      </c>
      <c r="C30" s="25" t="s">
        <v>83</v>
      </c>
      <c r="D30" s="4">
        <v>6287020840029</v>
      </c>
      <c r="E30" s="2" t="s">
        <v>29</v>
      </c>
      <c r="F30" s="19">
        <v>3</v>
      </c>
      <c r="G30" s="23">
        <f>VLOOKUP(D30,'Item Master'!$A$3:$C$11,3,0)/2*F30</f>
        <v>559.56521739130505</v>
      </c>
    </row>
    <row r="31" spans="1:7">
      <c r="A31" s="24" t="s">
        <v>61</v>
      </c>
      <c r="B31" s="22" t="s">
        <v>47</v>
      </c>
      <c r="C31" s="25" t="s">
        <v>83</v>
      </c>
      <c r="D31" s="4">
        <v>6287020840029</v>
      </c>
      <c r="E31" s="2" t="s">
        <v>29</v>
      </c>
      <c r="F31" s="19">
        <v>1</v>
      </c>
      <c r="G31" s="23">
        <f>VLOOKUP(D31,'Item Master'!$A$3:$C$11,3,0)/2*F31</f>
        <v>186.52173913043501</v>
      </c>
    </row>
    <row r="32" spans="1:7">
      <c r="A32" s="3" t="s">
        <v>71</v>
      </c>
      <c r="B32" s="24" t="s">
        <v>52</v>
      </c>
      <c r="C32" s="25" t="s">
        <v>72</v>
      </c>
      <c r="D32" s="4">
        <v>6287020840029</v>
      </c>
      <c r="E32" s="2" t="s">
        <v>29</v>
      </c>
      <c r="F32" s="19">
        <v>1</v>
      </c>
      <c r="G32" s="23">
        <f>VLOOKUP(D32,'Item Master'!$A$3:$C$11,3,0)/2*F32</f>
        <v>186.52173913043501</v>
      </c>
    </row>
    <row r="33" spans="1:7">
      <c r="A33" s="3" t="s">
        <v>19</v>
      </c>
      <c r="B33" s="22" t="s">
        <v>47</v>
      </c>
      <c r="C33" s="25" t="s">
        <v>83</v>
      </c>
      <c r="D33" s="4">
        <v>6287020840029</v>
      </c>
      <c r="E33" s="2" t="s">
        <v>29</v>
      </c>
      <c r="F33" s="19">
        <v>1</v>
      </c>
      <c r="G33" s="23">
        <f>VLOOKUP(D33,'Item Master'!$A$3:$C$11,3,0)/2*F33</f>
        <v>186.52173913043501</v>
      </c>
    </row>
    <row r="34" spans="1:7">
      <c r="A34" s="3" t="s">
        <v>21</v>
      </c>
      <c r="B34" s="22" t="s">
        <v>47</v>
      </c>
      <c r="C34" s="25" t="s">
        <v>83</v>
      </c>
      <c r="D34" s="4">
        <v>6287020840029</v>
      </c>
      <c r="E34" s="2" t="s">
        <v>29</v>
      </c>
      <c r="F34" s="19">
        <v>1</v>
      </c>
      <c r="G34" s="23">
        <f>VLOOKUP(D34,'Item Master'!$A$3:$C$11,3,0)/2*F34</f>
        <v>186.52173913043501</v>
      </c>
    </row>
    <row r="35" spans="1:7">
      <c r="A35" s="3" t="s">
        <v>22</v>
      </c>
      <c r="B35" s="22" t="s">
        <v>47</v>
      </c>
      <c r="C35" s="25" t="s">
        <v>83</v>
      </c>
      <c r="D35" s="4">
        <v>6287020840029</v>
      </c>
      <c r="E35" s="2" t="s">
        <v>29</v>
      </c>
      <c r="F35" s="19">
        <v>1</v>
      </c>
      <c r="G35" s="23">
        <f>VLOOKUP(D35,'Item Master'!$A$3:$C$11,3,0)/2*F35</f>
        <v>186.52173913043501</v>
      </c>
    </row>
    <row r="36" spans="1:7">
      <c r="A36" s="3" t="s">
        <v>23</v>
      </c>
      <c r="B36" s="22" t="s">
        <v>47</v>
      </c>
      <c r="C36" s="25" t="s">
        <v>83</v>
      </c>
      <c r="D36" s="4">
        <v>6287020840029</v>
      </c>
      <c r="E36" s="2" t="s">
        <v>29</v>
      </c>
      <c r="F36" s="19">
        <v>1</v>
      </c>
      <c r="G36" s="23">
        <f>VLOOKUP(D36,'Item Master'!$A$3:$C$11,3,0)/2*F36</f>
        <v>186.52173913043501</v>
      </c>
    </row>
    <row r="37" spans="1:7">
      <c r="A37" s="3" t="s">
        <v>69</v>
      </c>
      <c r="B37" s="24" t="s">
        <v>52</v>
      </c>
      <c r="C37" s="25" t="s">
        <v>72</v>
      </c>
      <c r="D37" s="4">
        <v>6287020840029</v>
      </c>
      <c r="E37" s="2" t="s">
        <v>29</v>
      </c>
      <c r="F37" s="19">
        <v>1</v>
      </c>
      <c r="G37" s="23">
        <f>VLOOKUP(D37,'Item Master'!$A$3:$C$11,3,0)/2*F37</f>
        <v>186.52173913043501</v>
      </c>
    </row>
    <row r="38" spans="1:7">
      <c r="A38" s="3" t="s">
        <v>70</v>
      </c>
      <c r="B38" s="24" t="s">
        <v>52</v>
      </c>
      <c r="C38" s="25" t="s">
        <v>72</v>
      </c>
      <c r="D38" s="4">
        <v>6287020840029</v>
      </c>
      <c r="E38" s="2" t="s">
        <v>29</v>
      </c>
      <c r="F38" s="19">
        <v>1</v>
      </c>
      <c r="G38" s="23">
        <f>VLOOKUP(D38,'Item Master'!$A$3:$C$11,3,0)/2*F38</f>
        <v>186.52173913043501</v>
      </c>
    </row>
    <row r="39" spans="1:7">
      <c r="A39" s="3" t="s">
        <v>3</v>
      </c>
      <c r="B39" s="22" t="s">
        <v>47</v>
      </c>
      <c r="C39" s="25" t="s">
        <v>83</v>
      </c>
      <c r="D39" s="4">
        <v>6287020840050</v>
      </c>
      <c r="E39" s="2" t="s">
        <v>30</v>
      </c>
      <c r="F39" s="19">
        <v>1</v>
      </c>
      <c r="G39" s="23">
        <f>VLOOKUP(D39,'Item Master'!$A$3:$C$11,3,0)/2*F39</f>
        <v>156.08695652173915</v>
      </c>
    </row>
    <row r="40" spans="1:7">
      <c r="A40" s="3" t="s">
        <v>5</v>
      </c>
      <c r="B40" s="22" t="s">
        <v>47</v>
      </c>
      <c r="C40" s="25" t="s">
        <v>83</v>
      </c>
      <c r="D40" s="4">
        <v>6287020840050</v>
      </c>
      <c r="E40" s="2" t="s">
        <v>30</v>
      </c>
      <c r="F40" s="19">
        <v>1</v>
      </c>
      <c r="G40" s="23">
        <f>VLOOKUP(D40,'Item Master'!$A$3:$C$11,3,0)/2*F40</f>
        <v>156.08695652173915</v>
      </c>
    </row>
    <row r="41" spans="1:7">
      <c r="A41" s="3" t="s">
        <v>11</v>
      </c>
      <c r="B41" s="22" t="s">
        <v>47</v>
      </c>
      <c r="C41" s="25" t="s">
        <v>83</v>
      </c>
      <c r="D41" s="4">
        <v>6287020840050</v>
      </c>
      <c r="E41" s="2" t="s">
        <v>30</v>
      </c>
      <c r="F41" s="19">
        <v>1</v>
      </c>
      <c r="G41" s="23">
        <f>VLOOKUP(D41,'Item Master'!$A$3:$C$11,3,0)/2*F41</f>
        <v>156.08695652173915</v>
      </c>
    </row>
    <row r="42" spans="1:7">
      <c r="A42" s="3" t="s">
        <v>13</v>
      </c>
      <c r="B42" s="22" t="s">
        <v>47</v>
      </c>
      <c r="C42" s="25" t="s">
        <v>83</v>
      </c>
      <c r="D42" s="4">
        <v>6287020840050</v>
      </c>
      <c r="E42" s="2" t="s">
        <v>30</v>
      </c>
      <c r="F42" s="19">
        <v>1</v>
      </c>
      <c r="G42" s="23">
        <f>VLOOKUP(D42,'Item Master'!$A$3:$C$11,3,0)/2*F42</f>
        <v>156.08695652173915</v>
      </c>
    </row>
    <row r="43" spans="1:7">
      <c r="A43" s="3" t="s">
        <v>15</v>
      </c>
      <c r="B43" s="22" t="s">
        <v>48</v>
      </c>
      <c r="C43" s="25" t="s">
        <v>66</v>
      </c>
      <c r="D43" s="4">
        <v>6287020840050</v>
      </c>
      <c r="E43" s="2" t="s">
        <v>30</v>
      </c>
      <c r="F43" s="19">
        <v>1</v>
      </c>
      <c r="G43" s="23">
        <f>VLOOKUP(D43,'Item Master'!$A$3:$C$11,3,0)/2*F43</f>
        <v>156.08695652173915</v>
      </c>
    </row>
    <row r="44" spans="1:7">
      <c r="A44" s="3" t="s">
        <v>71</v>
      </c>
      <c r="B44" s="24" t="s">
        <v>52</v>
      </c>
      <c r="C44" s="25" t="s">
        <v>72</v>
      </c>
      <c r="D44" s="4">
        <v>6287020840050</v>
      </c>
      <c r="E44" s="2" t="s">
        <v>30</v>
      </c>
      <c r="F44" s="19">
        <v>1</v>
      </c>
      <c r="G44" s="23">
        <f>VLOOKUP(D44,'Item Master'!$A$3:$C$11,3,0)/2*F44</f>
        <v>156.08695652173915</v>
      </c>
    </row>
    <row r="45" spans="1:7">
      <c r="A45" s="3" t="s">
        <v>20</v>
      </c>
      <c r="B45" s="22" t="s">
        <v>47</v>
      </c>
      <c r="C45" s="25" t="s">
        <v>83</v>
      </c>
      <c r="D45" s="4">
        <v>6287020840050</v>
      </c>
      <c r="E45" s="2" t="s">
        <v>30</v>
      </c>
      <c r="F45" s="19">
        <v>1</v>
      </c>
      <c r="G45" s="23">
        <f>VLOOKUP(D45,'Item Master'!$A$3:$C$11,3,0)/2*F45</f>
        <v>156.08695652173915</v>
      </c>
    </row>
    <row r="46" spans="1:7">
      <c r="A46" s="3" t="s">
        <v>21</v>
      </c>
      <c r="B46" s="22" t="s">
        <v>47</v>
      </c>
      <c r="C46" s="25" t="s">
        <v>83</v>
      </c>
      <c r="D46" s="4">
        <v>6287020840050</v>
      </c>
      <c r="E46" s="2" t="s">
        <v>30</v>
      </c>
      <c r="F46" s="19">
        <v>1</v>
      </c>
      <c r="G46" s="23">
        <f>VLOOKUP(D46,'Item Master'!$A$3:$C$11,3,0)/2*F46</f>
        <v>156.08695652173915</v>
      </c>
    </row>
    <row r="47" spans="1:7">
      <c r="A47" s="3" t="s">
        <v>22</v>
      </c>
      <c r="B47" s="22" t="s">
        <v>47</v>
      </c>
      <c r="C47" s="25" t="s">
        <v>83</v>
      </c>
      <c r="D47" s="4">
        <v>6287020840050</v>
      </c>
      <c r="E47" s="2" t="s">
        <v>30</v>
      </c>
      <c r="F47" s="19">
        <v>1</v>
      </c>
      <c r="G47" s="23">
        <f>VLOOKUP(D47,'Item Master'!$A$3:$C$11,3,0)/2*F47</f>
        <v>156.08695652173915</v>
      </c>
    </row>
    <row r="48" spans="1:7">
      <c r="A48" s="3" t="s">
        <v>23</v>
      </c>
      <c r="B48" s="22" t="s">
        <v>47</v>
      </c>
      <c r="C48" s="25" t="s">
        <v>83</v>
      </c>
      <c r="D48" s="4">
        <v>6287020840050</v>
      </c>
      <c r="E48" s="2" t="s">
        <v>30</v>
      </c>
      <c r="F48" s="19">
        <v>1</v>
      </c>
      <c r="G48" s="23">
        <f>VLOOKUP(D48,'Item Master'!$A$3:$C$11,3,0)/2*F48</f>
        <v>156.08695652173915</v>
      </c>
    </row>
    <row r="49" spans="1:7">
      <c r="A49" s="24" t="s">
        <v>60</v>
      </c>
      <c r="B49" s="22" t="s">
        <v>47</v>
      </c>
      <c r="C49" s="25" t="s">
        <v>83</v>
      </c>
      <c r="D49" s="4">
        <v>6287020840050</v>
      </c>
      <c r="E49" s="2" t="s">
        <v>30</v>
      </c>
      <c r="F49" s="19">
        <v>1</v>
      </c>
      <c r="G49" s="23">
        <f>VLOOKUP(D49,'Item Master'!$A$3:$C$11,3,0)/2*F49</f>
        <v>156.08695652173915</v>
      </c>
    </row>
    <row r="50" spans="1:7">
      <c r="A50" s="3" t="s">
        <v>24</v>
      </c>
      <c r="B50" s="22" t="s">
        <v>47</v>
      </c>
      <c r="C50" s="25" t="s">
        <v>83</v>
      </c>
      <c r="D50" s="4">
        <v>6287020840050</v>
      </c>
      <c r="E50" s="2" t="s">
        <v>30</v>
      </c>
      <c r="F50" s="19">
        <v>1</v>
      </c>
      <c r="G50" s="23">
        <f>VLOOKUP(D50,'Item Master'!$A$3:$C$11,3,0)/2*F50</f>
        <v>156.08695652173915</v>
      </c>
    </row>
    <row r="51" spans="1:7">
      <c r="A51" s="3" t="s">
        <v>69</v>
      </c>
      <c r="B51" s="24" t="s">
        <v>52</v>
      </c>
      <c r="C51" s="25" t="s">
        <v>72</v>
      </c>
      <c r="D51" s="4">
        <v>6287020840050</v>
      </c>
      <c r="E51" s="2" t="s">
        <v>30</v>
      </c>
      <c r="F51" s="19">
        <v>1</v>
      </c>
      <c r="G51" s="23">
        <f>VLOOKUP(D51,'Item Master'!$A$3:$C$11,3,0)/2*F51</f>
        <v>156.08695652173915</v>
      </c>
    </row>
    <row r="52" spans="1:7">
      <c r="A52" s="3" t="s">
        <v>70</v>
      </c>
      <c r="B52" s="24" t="s">
        <v>52</v>
      </c>
      <c r="C52" s="25" t="s">
        <v>72</v>
      </c>
      <c r="D52" s="4">
        <v>6287020840050</v>
      </c>
      <c r="E52" s="2" t="s">
        <v>30</v>
      </c>
      <c r="F52" s="19">
        <v>1</v>
      </c>
      <c r="G52" s="23">
        <f>VLOOKUP(D52,'Item Master'!$A$3:$C$11,3,0)/2*F52</f>
        <v>156.08695652173915</v>
      </c>
    </row>
    <row r="53" spans="1:7">
      <c r="A53" s="3" t="s">
        <v>0</v>
      </c>
      <c r="B53" s="22" t="s">
        <v>47</v>
      </c>
      <c r="C53" s="25" t="s">
        <v>83</v>
      </c>
      <c r="D53" s="4">
        <v>6287020840074</v>
      </c>
      <c r="E53" s="2" t="s">
        <v>31</v>
      </c>
      <c r="F53" s="19">
        <v>1</v>
      </c>
      <c r="G53" s="23">
        <f>VLOOKUP(D53,'Item Master'!$A$3:$C$11,3,0)/2*F53</f>
        <v>160.43478260869566</v>
      </c>
    </row>
    <row r="54" spans="1:7">
      <c r="A54" s="3" t="s">
        <v>1</v>
      </c>
      <c r="B54" s="22" t="s">
        <v>47</v>
      </c>
      <c r="C54" s="25" t="s">
        <v>83</v>
      </c>
      <c r="D54" s="4">
        <v>6287020840074</v>
      </c>
      <c r="E54" s="2" t="s">
        <v>31</v>
      </c>
      <c r="F54" s="19">
        <v>1</v>
      </c>
      <c r="G54" s="23">
        <f>VLOOKUP(D54,'Item Master'!$A$3:$C$11,3,0)/2*F54</f>
        <v>160.43478260869566</v>
      </c>
    </row>
    <row r="55" spans="1:7">
      <c r="A55" s="3" t="s">
        <v>2</v>
      </c>
      <c r="B55" s="22" t="s">
        <v>47</v>
      </c>
      <c r="C55" s="25" t="s">
        <v>83</v>
      </c>
      <c r="D55" s="4">
        <v>6287020840074</v>
      </c>
      <c r="E55" s="2" t="s">
        <v>31</v>
      </c>
      <c r="F55" s="19">
        <v>1</v>
      </c>
      <c r="G55" s="23">
        <f>VLOOKUP(D55,'Item Master'!$A$3:$C$11,3,0)/2*F55</f>
        <v>160.43478260869566</v>
      </c>
    </row>
    <row r="56" spans="1:7">
      <c r="A56" s="24" t="s">
        <v>62</v>
      </c>
      <c r="B56" s="22" t="s">
        <v>47</v>
      </c>
      <c r="C56" s="25" t="s">
        <v>83</v>
      </c>
      <c r="D56" s="4">
        <v>6287020840074</v>
      </c>
      <c r="E56" s="2" t="s">
        <v>31</v>
      </c>
      <c r="F56" s="19">
        <v>1</v>
      </c>
      <c r="G56" s="23">
        <f>VLOOKUP(D56,'Item Master'!$A$3:$C$11,3,0)/2*F56</f>
        <v>160.43478260869566</v>
      </c>
    </row>
    <row r="57" spans="1:7">
      <c r="A57" s="24" t="s">
        <v>59</v>
      </c>
      <c r="B57" s="22" t="s">
        <v>47</v>
      </c>
      <c r="C57" s="25" t="s">
        <v>83</v>
      </c>
      <c r="D57" s="4">
        <v>6287020840074</v>
      </c>
      <c r="E57" s="2" t="s">
        <v>31</v>
      </c>
      <c r="F57" s="19">
        <v>1</v>
      </c>
      <c r="G57" s="23">
        <f>VLOOKUP(D57,'Item Master'!$A$3:$C$11,3,0)/2*F57</f>
        <v>160.43478260869566</v>
      </c>
    </row>
    <row r="58" spans="1:7">
      <c r="A58" s="24" t="s">
        <v>58</v>
      </c>
      <c r="B58" s="22" t="s">
        <v>47</v>
      </c>
      <c r="C58" s="25" t="s">
        <v>83</v>
      </c>
      <c r="D58" s="4">
        <v>6287020840074</v>
      </c>
      <c r="E58" s="2" t="s">
        <v>31</v>
      </c>
      <c r="F58" s="19">
        <v>1</v>
      </c>
      <c r="G58" s="23">
        <f>VLOOKUP(D58,'Item Master'!$A$3:$C$11,3,0)/2*F58</f>
        <v>160.43478260869566</v>
      </c>
    </row>
    <row r="59" spans="1:7">
      <c r="A59" s="3" t="s">
        <v>13</v>
      </c>
      <c r="B59" s="22" t="s">
        <v>47</v>
      </c>
      <c r="C59" s="25" t="s">
        <v>83</v>
      </c>
      <c r="D59" s="4">
        <v>6287020840074</v>
      </c>
      <c r="E59" s="2" t="s">
        <v>31</v>
      </c>
      <c r="F59" s="19">
        <v>1</v>
      </c>
      <c r="G59" s="23">
        <f>VLOOKUP(D59,'Item Master'!$A$3:$C$11,3,0)/2*F59</f>
        <v>160.43478260869566</v>
      </c>
    </row>
    <row r="60" spans="1:7">
      <c r="A60" s="3" t="s">
        <v>15</v>
      </c>
      <c r="B60" s="22" t="s">
        <v>48</v>
      </c>
      <c r="C60" s="25" t="s">
        <v>66</v>
      </c>
      <c r="D60" s="4">
        <v>6287020840074</v>
      </c>
      <c r="E60" s="2" t="s">
        <v>31</v>
      </c>
      <c r="F60" s="19">
        <v>1</v>
      </c>
      <c r="G60" s="23">
        <f>VLOOKUP(D60,'Item Master'!$A$3:$C$11,3,0)/2*F60</f>
        <v>160.43478260869566</v>
      </c>
    </row>
    <row r="61" spans="1:7">
      <c r="A61" s="3" t="s">
        <v>71</v>
      </c>
      <c r="B61" s="24" t="s">
        <v>52</v>
      </c>
      <c r="C61" s="25" t="s">
        <v>72</v>
      </c>
      <c r="D61" s="4">
        <v>6287020840074</v>
      </c>
      <c r="E61" s="2" t="s">
        <v>31</v>
      </c>
      <c r="F61" s="19">
        <v>1</v>
      </c>
      <c r="G61" s="23">
        <f>VLOOKUP(D61,'Item Master'!$A$3:$C$11,3,0)/2*F61</f>
        <v>160.43478260869566</v>
      </c>
    </row>
    <row r="62" spans="1:7">
      <c r="A62" s="24" t="s">
        <v>60</v>
      </c>
      <c r="B62" s="22" t="s">
        <v>47</v>
      </c>
      <c r="C62" s="25" t="s">
        <v>83</v>
      </c>
      <c r="D62" s="4">
        <v>6287020840074</v>
      </c>
      <c r="E62" s="2" t="s">
        <v>31</v>
      </c>
      <c r="F62" s="19">
        <v>1</v>
      </c>
      <c r="G62" s="23">
        <f>VLOOKUP(D62,'Item Master'!$A$3:$C$11,3,0)/2*F62</f>
        <v>160.43478260869566</v>
      </c>
    </row>
    <row r="63" spans="1:7">
      <c r="A63" s="3" t="s">
        <v>69</v>
      </c>
      <c r="B63" s="24" t="s">
        <v>52</v>
      </c>
      <c r="C63" s="25" t="s">
        <v>72</v>
      </c>
      <c r="D63" s="4">
        <v>6287020840074</v>
      </c>
      <c r="E63" s="2" t="s">
        <v>31</v>
      </c>
      <c r="F63" s="19">
        <v>1</v>
      </c>
      <c r="G63" s="23">
        <f>VLOOKUP(D63,'Item Master'!$A$3:$C$11,3,0)/2*F63</f>
        <v>160.43478260869566</v>
      </c>
    </row>
    <row r="64" spans="1:7">
      <c r="A64" s="3" t="s">
        <v>70</v>
      </c>
      <c r="B64" s="24" t="s">
        <v>52</v>
      </c>
      <c r="C64" s="25" t="s">
        <v>72</v>
      </c>
      <c r="D64" s="4">
        <v>6287020840074</v>
      </c>
      <c r="E64" s="2" t="s">
        <v>31</v>
      </c>
      <c r="F64" s="19">
        <v>1</v>
      </c>
      <c r="G64" s="23">
        <f>VLOOKUP(D64,'Item Master'!$A$3:$C$11,3,0)/2*F64</f>
        <v>160.43478260869566</v>
      </c>
    </row>
    <row r="65" spans="1:7">
      <c r="A65" s="24" t="s">
        <v>63</v>
      </c>
      <c r="B65" s="22" t="s">
        <v>47</v>
      </c>
      <c r="C65" s="25" t="s">
        <v>83</v>
      </c>
      <c r="D65" s="4">
        <v>6287020840067</v>
      </c>
      <c r="E65" s="2" t="s">
        <v>32</v>
      </c>
      <c r="F65" s="19">
        <v>1</v>
      </c>
      <c r="G65" s="23">
        <f>VLOOKUP(D65,'Item Master'!$A$3:$C$11,3,0)/2*F65</f>
        <v>160.43478260869566</v>
      </c>
    </row>
    <row r="66" spans="1:7">
      <c r="A66" s="3" t="s">
        <v>13</v>
      </c>
      <c r="B66" s="22" t="s">
        <v>47</v>
      </c>
      <c r="C66" s="25" t="s">
        <v>83</v>
      </c>
      <c r="D66" s="4">
        <v>6287020840067</v>
      </c>
      <c r="E66" s="2" t="s">
        <v>32</v>
      </c>
      <c r="F66" s="19">
        <v>1</v>
      </c>
      <c r="G66" s="23">
        <f>VLOOKUP(D66,'Item Master'!$A$3:$C$11,3,0)/2*F66</f>
        <v>160.43478260869566</v>
      </c>
    </row>
    <row r="67" spans="1:7">
      <c r="A67" s="3" t="s">
        <v>18</v>
      </c>
      <c r="B67" s="25" t="s">
        <v>47</v>
      </c>
      <c r="C67" s="25" t="s">
        <v>83</v>
      </c>
      <c r="D67" s="4">
        <v>6287020840067</v>
      </c>
      <c r="E67" s="2" t="s">
        <v>32</v>
      </c>
      <c r="F67" s="19">
        <v>1</v>
      </c>
      <c r="G67" s="23">
        <f>VLOOKUP(D67,'Item Master'!$A$3:$C$11,3,0)/2*F67</f>
        <v>160.43478260869566</v>
      </c>
    </row>
    <row r="68" spans="1:7">
      <c r="A68" s="3" t="s">
        <v>71</v>
      </c>
      <c r="B68" s="24" t="s">
        <v>52</v>
      </c>
      <c r="C68" s="25" t="s">
        <v>72</v>
      </c>
      <c r="D68" s="4">
        <v>6287020840067</v>
      </c>
      <c r="E68" s="2" t="s">
        <v>32</v>
      </c>
      <c r="F68" s="19">
        <v>1</v>
      </c>
      <c r="G68" s="23">
        <f>VLOOKUP(D68,'Item Master'!$A$3:$C$11,3,0)/2*F68</f>
        <v>160.43478260869566</v>
      </c>
    </row>
    <row r="69" spans="1:7">
      <c r="A69" s="3" t="s">
        <v>20</v>
      </c>
      <c r="B69" s="22" t="s">
        <v>47</v>
      </c>
      <c r="C69" s="25" t="s">
        <v>83</v>
      </c>
      <c r="D69" s="4">
        <v>6287020840067</v>
      </c>
      <c r="E69" s="2" t="s">
        <v>32</v>
      </c>
      <c r="F69" s="19">
        <v>1</v>
      </c>
      <c r="G69" s="23">
        <f>VLOOKUP(D69,'Item Master'!$A$3:$C$11,3,0)/2*F69</f>
        <v>160.43478260869566</v>
      </c>
    </row>
    <row r="70" spans="1:7">
      <c r="A70" s="3" t="s">
        <v>21</v>
      </c>
      <c r="B70" s="22" t="s">
        <v>47</v>
      </c>
      <c r="C70" s="25" t="s">
        <v>83</v>
      </c>
      <c r="D70" s="4">
        <v>6287020840067</v>
      </c>
      <c r="E70" s="2" t="s">
        <v>32</v>
      </c>
      <c r="F70" s="19">
        <v>1</v>
      </c>
      <c r="G70" s="23">
        <f>VLOOKUP(D70,'Item Master'!$A$3:$C$11,3,0)/2*F70</f>
        <v>160.43478260869566</v>
      </c>
    </row>
    <row r="71" spans="1:7">
      <c r="A71" s="3" t="s">
        <v>22</v>
      </c>
      <c r="B71" s="22" t="s">
        <v>47</v>
      </c>
      <c r="C71" s="25" t="s">
        <v>83</v>
      </c>
      <c r="D71" s="4">
        <v>6287020840067</v>
      </c>
      <c r="E71" s="2" t="s">
        <v>32</v>
      </c>
      <c r="F71" s="19">
        <v>1</v>
      </c>
      <c r="G71" s="23">
        <f>VLOOKUP(D71,'Item Master'!$A$3:$C$11,3,0)/2*F71</f>
        <v>160.43478260869566</v>
      </c>
    </row>
    <row r="72" spans="1:7">
      <c r="A72" s="3" t="s">
        <v>23</v>
      </c>
      <c r="B72" s="22" t="s">
        <v>47</v>
      </c>
      <c r="C72" s="25" t="s">
        <v>83</v>
      </c>
      <c r="D72" s="4">
        <v>6287020840067</v>
      </c>
      <c r="E72" s="2" t="s">
        <v>32</v>
      </c>
      <c r="F72" s="19">
        <v>1</v>
      </c>
      <c r="G72" s="23">
        <f>VLOOKUP(D72,'Item Master'!$A$3:$C$11,3,0)/2*F72</f>
        <v>160.43478260869566</v>
      </c>
    </row>
    <row r="73" spans="1:7">
      <c r="A73" s="24" t="s">
        <v>60</v>
      </c>
      <c r="B73" s="22" t="s">
        <v>47</v>
      </c>
      <c r="C73" s="25" t="s">
        <v>83</v>
      </c>
      <c r="D73" s="4">
        <v>6287020840067</v>
      </c>
      <c r="E73" s="2" t="s">
        <v>32</v>
      </c>
      <c r="F73" s="19">
        <v>1</v>
      </c>
      <c r="G73" s="23">
        <f>VLOOKUP(D73,'Item Master'!$A$3:$C$11,3,0)/2*F73</f>
        <v>160.43478260869566</v>
      </c>
    </row>
    <row r="74" spans="1:7">
      <c r="A74" s="3" t="s">
        <v>69</v>
      </c>
      <c r="B74" s="24" t="s">
        <v>52</v>
      </c>
      <c r="C74" s="25" t="s">
        <v>72</v>
      </c>
      <c r="D74" s="4">
        <v>6287020840067</v>
      </c>
      <c r="E74" s="2" t="s">
        <v>32</v>
      </c>
      <c r="F74" s="19">
        <v>1</v>
      </c>
      <c r="G74" s="23">
        <f>VLOOKUP(D74,'Item Master'!$A$3:$C$11,3,0)/2*F74</f>
        <v>160.43478260869566</v>
      </c>
    </row>
    <row r="75" spans="1:7">
      <c r="A75" s="3" t="s">
        <v>26</v>
      </c>
      <c r="B75" s="22" t="s">
        <v>49</v>
      </c>
      <c r="C75" s="25" t="s">
        <v>75</v>
      </c>
      <c r="D75" s="4">
        <v>6287020840067</v>
      </c>
      <c r="E75" s="2" t="s">
        <v>32</v>
      </c>
      <c r="F75" s="19">
        <v>1</v>
      </c>
      <c r="G75" s="23">
        <f>VLOOKUP(D75,'Item Master'!$A$3:$C$11,3,0)/2*F75</f>
        <v>160.43478260869566</v>
      </c>
    </row>
    <row r="76" spans="1:7">
      <c r="A76" s="3" t="s">
        <v>70</v>
      </c>
      <c r="B76" s="24" t="s">
        <v>52</v>
      </c>
      <c r="C76" s="25" t="s">
        <v>72</v>
      </c>
      <c r="D76" s="4">
        <v>6287020840067</v>
      </c>
      <c r="E76" s="2" t="s">
        <v>32</v>
      </c>
      <c r="F76" s="19">
        <v>1</v>
      </c>
      <c r="G76" s="23">
        <f>VLOOKUP(D76,'Item Master'!$A$3:$C$11,3,0)/2*F76</f>
        <v>160.43478260869566</v>
      </c>
    </row>
    <row r="77" spans="1:7">
      <c r="A77" s="3" t="s">
        <v>71</v>
      </c>
      <c r="B77" s="24" t="s">
        <v>52</v>
      </c>
      <c r="C77" s="25" t="s">
        <v>72</v>
      </c>
      <c r="D77" s="4">
        <v>6287020840098</v>
      </c>
      <c r="E77" s="2" t="s">
        <v>33</v>
      </c>
      <c r="F77" s="19">
        <v>1</v>
      </c>
      <c r="G77" s="23">
        <f>VLOOKUP(D77,'Item Master'!$A$3:$C$11,3,0)/2*F77</f>
        <v>86.521739130434796</v>
      </c>
    </row>
    <row r="78" spans="1:7">
      <c r="A78" s="3" t="s">
        <v>69</v>
      </c>
      <c r="B78" s="24" t="s">
        <v>52</v>
      </c>
      <c r="C78" s="25" t="s">
        <v>72</v>
      </c>
      <c r="D78" s="4">
        <v>6287020840098</v>
      </c>
      <c r="E78" s="2" t="s">
        <v>33</v>
      </c>
      <c r="F78" s="19">
        <v>1</v>
      </c>
      <c r="G78" s="23">
        <f>VLOOKUP(D78,'Item Master'!$A$3:$C$11,3,0)/2*F78</f>
        <v>86.521739130434796</v>
      </c>
    </row>
    <row r="79" spans="1:7">
      <c r="A79" s="3" t="s">
        <v>70</v>
      </c>
      <c r="B79" s="24" t="s">
        <v>52</v>
      </c>
      <c r="C79" s="25" t="s">
        <v>72</v>
      </c>
      <c r="D79" s="4">
        <v>6287020840098</v>
      </c>
      <c r="E79" s="2" t="s">
        <v>33</v>
      </c>
      <c r="F79" s="19">
        <v>1</v>
      </c>
      <c r="G79" s="23">
        <f>VLOOKUP(D79,'Item Master'!$A$3:$C$11,3,0)/2*F79</f>
        <v>86.521739130434796</v>
      </c>
    </row>
    <row r="80" spans="1:7">
      <c r="A80" s="3" t="s">
        <v>15</v>
      </c>
      <c r="B80" s="22" t="s">
        <v>48</v>
      </c>
      <c r="C80" s="25" t="s">
        <v>66</v>
      </c>
      <c r="D80" s="4">
        <v>6287020840081</v>
      </c>
      <c r="E80" s="2" t="s">
        <v>34</v>
      </c>
      <c r="F80" s="19">
        <v>1</v>
      </c>
      <c r="G80" s="23">
        <f>VLOOKUP(D80,'Item Master'!$A$3:$C$11,3,0)/2*F80</f>
        <v>82.173913043478265</v>
      </c>
    </row>
    <row r="81" spans="1:7">
      <c r="A81" s="3" t="s">
        <v>71</v>
      </c>
      <c r="B81" s="24" t="s">
        <v>52</v>
      </c>
      <c r="C81" s="25" t="s">
        <v>72</v>
      </c>
      <c r="D81" s="4">
        <v>6287020840081</v>
      </c>
      <c r="E81" s="2" t="s">
        <v>34</v>
      </c>
      <c r="F81" s="19">
        <v>1</v>
      </c>
      <c r="G81" s="23">
        <f>VLOOKUP(D81,'Item Master'!$A$3:$C$11,3,0)/2*F81</f>
        <v>82.173913043478265</v>
      </c>
    </row>
    <row r="82" spans="1:7">
      <c r="A82" s="3" t="s">
        <v>24</v>
      </c>
      <c r="B82" s="22" t="s">
        <v>47</v>
      </c>
      <c r="C82" s="25" t="s">
        <v>83</v>
      </c>
      <c r="D82" s="4">
        <v>6287020840081</v>
      </c>
      <c r="E82" s="2" t="s">
        <v>34</v>
      </c>
      <c r="F82" s="19">
        <v>1</v>
      </c>
      <c r="G82" s="23">
        <f>VLOOKUP(D82,'Item Master'!$A$3:$C$11,3,0)/2*F82</f>
        <v>82.173913043478265</v>
      </c>
    </row>
    <row r="83" spans="1:7">
      <c r="A83" s="3" t="s">
        <v>69</v>
      </c>
      <c r="B83" s="24" t="s">
        <v>52</v>
      </c>
      <c r="C83" s="25" t="s">
        <v>72</v>
      </c>
      <c r="D83" s="4">
        <v>6287020840081</v>
      </c>
      <c r="E83" s="2" t="s">
        <v>34</v>
      </c>
      <c r="F83" s="19">
        <v>1</v>
      </c>
      <c r="G83" s="23">
        <f>VLOOKUP(D83,'Item Master'!$A$3:$C$11,3,0)/2*F83</f>
        <v>82.173913043478265</v>
      </c>
    </row>
    <row r="84" spans="1:7">
      <c r="A84" s="3" t="s">
        <v>70</v>
      </c>
      <c r="B84" s="24" t="s">
        <v>52</v>
      </c>
      <c r="C84" s="25" t="s">
        <v>72</v>
      </c>
      <c r="D84" s="4">
        <v>6287020840081</v>
      </c>
      <c r="E84" s="2" t="s">
        <v>34</v>
      </c>
      <c r="F84" s="19">
        <v>1</v>
      </c>
      <c r="G84" s="23">
        <f>VLOOKUP(D84,'Item Master'!$A$3:$C$11,3,0)/2*F84</f>
        <v>82.173913043478265</v>
      </c>
    </row>
    <row r="85" spans="1:7">
      <c r="A85" s="3" t="s">
        <v>4</v>
      </c>
      <c r="B85" s="22" t="s">
        <v>47</v>
      </c>
      <c r="C85" s="25" t="s">
        <v>83</v>
      </c>
      <c r="D85" s="4">
        <v>6287020840104</v>
      </c>
      <c r="E85" s="2" t="s">
        <v>35</v>
      </c>
      <c r="F85" s="19">
        <v>1</v>
      </c>
      <c r="G85" s="23">
        <f>VLOOKUP(D85,'Item Master'!$A$3:$C$11,3,0)/2*F85</f>
        <v>82.173913043478265</v>
      </c>
    </row>
    <row r="86" spans="1:7">
      <c r="A86" s="3" t="s">
        <v>5</v>
      </c>
      <c r="B86" s="22" t="s">
        <v>47</v>
      </c>
      <c r="C86" s="25" t="s">
        <v>83</v>
      </c>
      <c r="D86" s="4">
        <v>6287020840104</v>
      </c>
      <c r="E86" s="2" t="s">
        <v>35</v>
      </c>
      <c r="F86" s="19">
        <v>2</v>
      </c>
      <c r="G86" s="23">
        <f>VLOOKUP(D86,'Item Master'!$A$3:$C$11,3,0)/2*F86</f>
        <v>164.34782608695653</v>
      </c>
    </row>
    <row r="87" spans="1:7">
      <c r="A87" s="3" t="s">
        <v>16</v>
      </c>
      <c r="B87" s="22" t="s">
        <v>48</v>
      </c>
      <c r="C87" s="25" t="s">
        <v>66</v>
      </c>
      <c r="D87" s="4">
        <v>6287020840104</v>
      </c>
      <c r="E87" s="2" t="s">
        <v>35</v>
      </c>
      <c r="F87" s="19">
        <v>1</v>
      </c>
      <c r="G87" s="23">
        <f>VLOOKUP(D87,'Item Master'!$A$3:$C$11,3,0)/2*F87</f>
        <v>82.173913043478265</v>
      </c>
    </row>
    <row r="88" spans="1:7">
      <c r="A88" s="3" t="s">
        <v>17</v>
      </c>
      <c r="B88" s="22" t="s">
        <v>48</v>
      </c>
      <c r="C88" s="25" t="s">
        <v>66</v>
      </c>
      <c r="D88" s="4">
        <v>6287020840104</v>
      </c>
      <c r="E88" s="2" t="s">
        <v>35</v>
      </c>
      <c r="F88" s="19">
        <v>1</v>
      </c>
      <c r="G88" s="23">
        <f>VLOOKUP(D88,'Item Master'!$A$3:$C$11,3,0)/2*F88</f>
        <v>82.173913043478265</v>
      </c>
    </row>
    <row r="89" spans="1:7">
      <c r="A89" s="3" t="s">
        <v>71</v>
      </c>
      <c r="B89" s="24" t="s">
        <v>52</v>
      </c>
      <c r="C89" s="25" t="s">
        <v>72</v>
      </c>
      <c r="D89" s="4">
        <v>6287020840104</v>
      </c>
      <c r="E89" s="2" t="s">
        <v>35</v>
      </c>
      <c r="F89" s="19">
        <v>1</v>
      </c>
      <c r="G89" s="23">
        <f>VLOOKUP(D89,'Item Master'!$A$3:$C$11,3,0)/2*F89</f>
        <v>82.173913043478265</v>
      </c>
    </row>
    <row r="90" spans="1:7">
      <c r="A90" s="3" t="s">
        <v>21</v>
      </c>
      <c r="B90" s="22" t="s">
        <v>47</v>
      </c>
      <c r="C90" s="25" t="s">
        <v>83</v>
      </c>
      <c r="D90" s="4">
        <v>6287020840104</v>
      </c>
      <c r="E90" s="2" t="s">
        <v>35</v>
      </c>
      <c r="F90" s="19">
        <v>1</v>
      </c>
      <c r="G90" s="23">
        <f>VLOOKUP(D90,'Item Master'!$A$3:$C$11,3,0)/2*F90</f>
        <v>82.173913043478265</v>
      </c>
    </row>
    <row r="91" spans="1:7">
      <c r="A91" s="3" t="s">
        <v>25</v>
      </c>
      <c r="B91" s="22" t="s">
        <v>47</v>
      </c>
      <c r="C91" s="25" t="s">
        <v>83</v>
      </c>
      <c r="D91" s="4">
        <v>6287020840104</v>
      </c>
      <c r="E91" s="2" t="s">
        <v>35</v>
      </c>
      <c r="F91" s="19">
        <v>1</v>
      </c>
      <c r="G91" s="23">
        <f>VLOOKUP(D91,'Item Master'!$A$3:$C$11,3,0)/2*F91</f>
        <v>82.173913043478265</v>
      </c>
    </row>
    <row r="92" spans="1:7">
      <c r="A92" s="3" t="s">
        <v>69</v>
      </c>
      <c r="B92" s="24" t="s">
        <v>52</v>
      </c>
      <c r="C92" s="25" t="s">
        <v>72</v>
      </c>
      <c r="D92" s="4">
        <v>6287020840104</v>
      </c>
      <c r="E92" s="2" t="s">
        <v>35</v>
      </c>
      <c r="F92" s="19">
        <v>1</v>
      </c>
      <c r="G92" s="23">
        <f>VLOOKUP(D92,'Item Master'!$A$3:$C$11,3,0)/2*F92</f>
        <v>82.173913043478265</v>
      </c>
    </row>
    <row r="93" spans="1:7">
      <c r="A93" s="3" t="s">
        <v>70</v>
      </c>
      <c r="B93" s="24" t="s">
        <v>52</v>
      </c>
      <c r="C93" s="25" t="s">
        <v>72</v>
      </c>
      <c r="D93" s="4">
        <v>6287020840104</v>
      </c>
      <c r="E93" s="2" t="s">
        <v>35</v>
      </c>
      <c r="F93" s="19">
        <v>1</v>
      </c>
      <c r="G93" s="23">
        <f>VLOOKUP(D93,'Item Master'!$A$3:$C$11,3,0)/2*F93</f>
        <v>82.173913043478265</v>
      </c>
    </row>
    <row r="94" spans="1:7">
      <c r="A94" s="20" t="s">
        <v>55</v>
      </c>
      <c r="B94" s="20" t="s">
        <v>47</v>
      </c>
      <c r="C94" s="1" t="s">
        <v>67</v>
      </c>
      <c r="D94" s="14">
        <v>6287020840029</v>
      </c>
      <c r="E94" s="20" t="str">
        <f>VLOOKUP(D94,'Item Master'!$A$3:$B$11,2,0)</f>
        <v>ROYAL OUD PARFUME 50ML</v>
      </c>
      <c r="F94" s="30">
        <v>1</v>
      </c>
      <c r="G94" s="23">
        <f>VLOOKUP(D94,'Item Master'!$A$3:$C$11,3,0)/2*F94</f>
        <v>186.52173913043501</v>
      </c>
    </row>
    <row r="95" spans="1:7">
      <c r="A95" s="20" t="s">
        <v>55</v>
      </c>
      <c r="B95" s="20" t="s">
        <v>47</v>
      </c>
      <c r="C95" s="1" t="s">
        <v>67</v>
      </c>
      <c r="D95" s="14">
        <v>6287020840067</v>
      </c>
      <c r="E95" s="1" t="str">
        <f>VLOOKUP(D95,'Item Master'!$A$3:$B$11,2,0)</f>
        <v>SOLENN EXTRAIT DE PARFUM  50ML</v>
      </c>
      <c r="F95" s="19">
        <v>1</v>
      </c>
      <c r="G95" s="23">
        <f>VLOOKUP(D95,'Item Master'!$A$3:$C$11,3,0)/2*F95</f>
        <v>160.43478260869566</v>
      </c>
    </row>
    <row r="96" spans="1:7">
      <c r="A96" s="1" t="s">
        <v>56</v>
      </c>
      <c r="B96" s="20" t="s">
        <v>47</v>
      </c>
      <c r="C96" s="1" t="s">
        <v>67</v>
      </c>
      <c r="D96" s="14">
        <v>6287020840029</v>
      </c>
      <c r="E96" s="1" t="str">
        <f>VLOOKUP(D96,'Item Master'!$A$3:$B$11,2,0)</f>
        <v>ROYAL OUD PARFUME 50ML</v>
      </c>
      <c r="F96" s="19">
        <v>1</v>
      </c>
      <c r="G96" s="23">
        <f>VLOOKUP(D96,'Item Master'!$A$3:$C$11,3,0)/2*F96</f>
        <v>186.52173913043501</v>
      </c>
    </row>
    <row r="97" spans="1:7">
      <c r="A97" s="1" t="s">
        <v>56</v>
      </c>
      <c r="B97" s="20" t="s">
        <v>47</v>
      </c>
      <c r="C97" s="1" t="s">
        <v>67</v>
      </c>
      <c r="D97" s="14">
        <v>6287020840067</v>
      </c>
      <c r="E97" s="1" t="str">
        <f>VLOOKUP(D97,'Item Master'!$A$3:$B$11,2,0)</f>
        <v>SOLENN EXTRAIT DE PARFUM  50ML</v>
      </c>
      <c r="F97" s="19">
        <v>1</v>
      </c>
      <c r="G97" s="23">
        <f>VLOOKUP(D97,'Item Master'!$A$3:$C$11,3,0)/2*F97</f>
        <v>160.43478260869566</v>
      </c>
    </row>
    <row r="98" spans="1:7">
      <c r="A98" s="1" t="s">
        <v>57</v>
      </c>
      <c r="B98" s="20" t="s">
        <v>47</v>
      </c>
      <c r="C98" s="1" t="s">
        <v>67</v>
      </c>
      <c r="D98" s="14">
        <v>6287020840036</v>
      </c>
      <c r="E98" s="1" t="str">
        <f>VLOOKUP(D98,'Item Master'!$A$3:$B$11,2,0)</f>
        <v>ROYAL JASMINE EXTRAIT DE PARFUM  50ML</v>
      </c>
      <c r="F98" s="19">
        <v>1</v>
      </c>
      <c r="G98" s="23">
        <f>VLOOKUP(D98,'Item Master'!$A$3:$C$11,3,0)/2*F98</f>
        <v>147.39130434782609</v>
      </c>
    </row>
    <row r="99" spans="1:7">
      <c r="A99" s="24" t="s">
        <v>59</v>
      </c>
      <c r="B99" s="1" t="s">
        <v>47</v>
      </c>
      <c r="C99" s="1" t="s">
        <v>67</v>
      </c>
      <c r="D99" s="4">
        <v>6287020840104</v>
      </c>
      <c r="E99" s="1" t="str">
        <f>VLOOKUP(D99,'Item Master'!$A$3:$B$11,2,0)</f>
        <v>PEACH MOSS HAIR MUST 35ML</v>
      </c>
      <c r="F99" s="19">
        <v>1</v>
      </c>
      <c r="G99" s="23">
        <f>VLOOKUP(D99,'Item Master'!$A$3:$C$11,3,0)/2*F99</f>
        <v>82.173913043478265</v>
      </c>
    </row>
    <row r="100" spans="1:7">
      <c r="A100" s="24" t="s">
        <v>63</v>
      </c>
      <c r="B100" s="1" t="s">
        <v>47</v>
      </c>
      <c r="C100" s="1" t="s">
        <v>67</v>
      </c>
      <c r="D100" s="4">
        <v>6287020840104</v>
      </c>
      <c r="E100" s="1" t="str">
        <f>VLOOKUP(D100,'Item Master'!$A$3:$B$11,2,0)</f>
        <v>PEACH MOSS HAIR MUST 35ML</v>
      </c>
      <c r="F100" s="19">
        <v>1</v>
      </c>
      <c r="G100" s="23">
        <f>VLOOKUP(D100,'Item Master'!$A$3:$C$11,3,0)/2*F100</f>
        <v>82.173913043478265</v>
      </c>
    </row>
    <row r="101" spans="1:7">
      <c r="A101" s="24" t="s">
        <v>62</v>
      </c>
      <c r="B101" s="1" t="s">
        <v>47</v>
      </c>
      <c r="C101" s="1" t="s">
        <v>67</v>
      </c>
      <c r="D101" s="4">
        <v>6287020840104</v>
      </c>
      <c r="E101" s="1" t="str">
        <f>VLOOKUP(D101,'Item Master'!$A$3:$B$11,2,0)</f>
        <v>PEACH MOSS HAIR MUST 35ML</v>
      </c>
      <c r="F101" s="19">
        <v>1</v>
      </c>
      <c r="G101" s="23">
        <f>VLOOKUP(D101,'Item Master'!$A$3:$C$11,3,0)/2*F101</f>
        <v>82.173913043478265</v>
      </c>
    </row>
    <row r="102" spans="1:7">
      <c r="A102" s="1" t="s">
        <v>68</v>
      </c>
      <c r="B102" s="1" t="s">
        <v>47</v>
      </c>
      <c r="C102" s="1" t="s">
        <v>67</v>
      </c>
      <c r="D102" s="4">
        <v>6287020840104</v>
      </c>
      <c r="E102" s="1" t="str">
        <f>VLOOKUP(D102,'Item Master'!$A$3:$B$11,2,0)</f>
        <v>PEACH MOSS HAIR MUST 35ML</v>
      </c>
      <c r="F102" s="19">
        <v>1</v>
      </c>
      <c r="G102" s="23">
        <f>VLOOKUP(D102,'Item Master'!$A$3:$C$11,3,0)/2*F102</f>
        <v>82.173913043478265</v>
      </c>
    </row>
    <row r="103" spans="1:7">
      <c r="A103" s="1" t="s">
        <v>71</v>
      </c>
      <c r="B103" s="1" t="s">
        <v>74</v>
      </c>
      <c r="C103" s="1" t="s">
        <v>73</v>
      </c>
      <c r="D103" s="4">
        <v>6287020840012</v>
      </c>
      <c r="E103" s="1" t="str">
        <f>VLOOKUP(D103,'Item Master'!$A$3:$B$11,2,0)</f>
        <v>ROYAL MUSK EXTRAIT DE PARFUM  50ML</v>
      </c>
      <c r="F103" s="19">
        <v>3</v>
      </c>
      <c r="G103" s="23">
        <f>VLOOKUP(D103,'Item Master'!$A$3:$C$11,3,0)/2*F103</f>
        <v>403.04347826086962</v>
      </c>
    </row>
    <row r="104" spans="1:7">
      <c r="A104" s="1" t="s">
        <v>71</v>
      </c>
      <c r="B104" s="1" t="s">
        <v>74</v>
      </c>
      <c r="C104" s="1" t="s">
        <v>73</v>
      </c>
      <c r="D104" s="4">
        <v>6287020840036</v>
      </c>
      <c r="E104" s="1" t="str">
        <f>VLOOKUP(D104,'Item Master'!$A$3:$B$11,2,0)</f>
        <v>ROYAL JASMINE EXTRAIT DE PARFUM  50ML</v>
      </c>
      <c r="F104" s="19">
        <v>3</v>
      </c>
      <c r="G104" s="23">
        <f>VLOOKUP(D104,'Item Master'!$A$3:$C$11,3,0)/2*F104</f>
        <v>442.17391304347825</v>
      </c>
    </row>
    <row r="105" spans="1:7">
      <c r="A105" s="1" t="s">
        <v>71</v>
      </c>
      <c r="B105" s="1" t="s">
        <v>74</v>
      </c>
      <c r="C105" s="1" t="s">
        <v>73</v>
      </c>
      <c r="D105" s="4">
        <v>6287020840029</v>
      </c>
      <c r="E105" s="1" t="str">
        <f>VLOOKUP(D105,'Item Master'!$A$3:$B$11,2,0)</f>
        <v>ROYAL OUD PARFUME 50ML</v>
      </c>
      <c r="F105" s="19">
        <v>3</v>
      </c>
      <c r="G105" s="23">
        <f>VLOOKUP(D105,'Item Master'!$A$3:$C$11,3,0)/2*F105</f>
        <v>559.56521739130505</v>
      </c>
    </row>
    <row r="106" spans="1:7">
      <c r="A106" s="1" t="s">
        <v>71</v>
      </c>
      <c r="B106" s="1" t="s">
        <v>74</v>
      </c>
      <c r="C106" s="1" t="s">
        <v>73</v>
      </c>
      <c r="D106" s="4">
        <v>6287020840050</v>
      </c>
      <c r="E106" s="1" t="str">
        <f>VLOOKUP(D106,'Item Master'!$A$3:$B$11,2,0)</f>
        <v>LADY LULU EXTRAIT DE PARFUM  50ML</v>
      </c>
      <c r="F106" s="19">
        <v>3</v>
      </c>
      <c r="G106" s="23">
        <f>VLOOKUP(D106,'Item Master'!$A$3:$C$11,3,0)/2*F106</f>
        <v>468.26086956521749</v>
      </c>
    </row>
    <row r="107" spans="1:7">
      <c r="A107" s="1" t="s">
        <v>71</v>
      </c>
      <c r="B107" s="1" t="s">
        <v>74</v>
      </c>
      <c r="C107" s="1" t="s">
        <v>73</v>
      </c>
      <c r="D107" s="4">
        <v>6287020840074</v>
      </c>
      <c r="E107" s="1" t="str">
        <f>VLOOKUP(D107,'Item Master'!$A$3:$B$11,2,0)</f>
        <v>EVORA PARFUME 50ML</v>
      </c>
      <c r="F107" s="19">
        <v>3</v>
      </c>
      <c r="G107" s="23">
        <f>VLOOKUP(D107,'Item Master'!$A$3:$C$11,3,0)/2*F107</f>
        <v>481.304347826087</v>
      </c>
    </row>
    <row r="108" spans="1:7">
      <c r="A108" s="1" t="s">
        <v>71</v>
      </c>
      <c r="B108" s="1" t="s">
        <v>74</v>
      </c>
      <c r="C108" s="1" t="s">
        <v>73</v>
      </c>
      <c r="D108" s="4">
        <v>6287020840067</v>
      </c>
      <c r="E108" s="1" t="str">
        <f>VLOOKUP(D108,'Item Master'!$A$3:$B$11,2,0)</f>
        <v>SOLENN EXTRAIT DE PARFUM  50ML</v>
      </c>
      <c r="F108" s="19">
        <v>3</v>
      </c>
      <c r="G108" s="23">
        <f>VLOOKUP(D108,'Item Master'!$A$3:$C$11,3,0)/2*F108</f>
        <v>481.304347826087</v>
      </c>
    </row>
    <row r="109" spans="1:7">
      <c r="A109" s="1" t="s">
        <v>71</v>
      </c>
      <c r="B109" s="1" t="s">
        <v>74</v>
      </c>
      <c r="C109" s="1" t="s">
        <v>73</v>
      </c>
      <c r="D109" s="4">
        <v>6287020840098</v>
      </c>
      <c r="E109" s="1" t="str">
        <f>VLOOKUP(D109,'Item Master'!$A$3:$B$11,2,0)</f>
        <v>LUMISK HAIR MUST 35ML</v>
      </c>
      <c r="F109" s="19">
        <v>3</v>
      </c>
      <c r="G109" s="23">
        <f>VLOOKUP(D109,'Item Master'!$A$3:$C$11,3,0)/2*F109</f>
        <v>259.56521739130437</v>
      </c>
    </row>
    <row r="110" spans="1:7">
      <c r="A110" s="1" t="s">
        <v>71</v>
      </c>
      <c r="B110" s="1" t="s">
        <v>74</v>
      </c>
      <c r="C110" s="1" t="s">
        <v>73</v>
      </c>
      <c r="D110" s="4">
        <v>6287020840081</v>
      </c>
      <c r="E110" s="1" t="str">
        <f>VLOOKUP(D110,'Item Master'!$A$3:$B$11,2,0)</f>
        <v>LUNÉRA HAIR MUST  35ML</v>
      </c>
      <c r="F110" s="19">
        <v>3</v>
      </c>
      <c r="G110" s="23">
        <f>VLOOKUP(D110,'Item Master'!$A$3:$C$11,3,0)/2*F110</f>
        <v>246.52173913043481</v>
      </c>
    </row>
    <row r="111" spans="1:7">
      <c r="A111" s="1" t="s">
        <v>71</v>
      </c>
      <c r="B111" s="1" t="s">
        <v>74</v>
      </c>
      <c r="C111" s="1" t="s">
        <v>73</v>
      </c>
      <c r="D111" s="4">
        <v>6287020840104</v>
      </c>
      <c r="E111" s="1" t="str">
        <f>VLOOKUP(D111,'Item Master'!$A$3:$B$11,2,0)</f>
        <v>PEACH MOSS HAIR MUST 35ML</v>
      </c>
      <c r="F111" s="19">
        <v>3</v>
      </c>
      <c r="G111" s="23">
        <f>VLOOKUP(D111,'Item Master'!$A$3:$C$11,3,0)/2*F111</f>
        <v>246.52173913043481</v>
      </c>
    </row>
    <row r="112" spans="1:7">
      <c r="A112" s="1" t="s">
        <v>76</v>
      </c>
      <c r="B112" s="1" t="s">
        <v>74</v>
      </c>
      <c r="C112" s="1" t="s">
        <v>73</v>
      </c>
      <c r="D112" s="4">
        <v>6287020840012</v>
      </c>
      <c r="E112" s="1" t="str">
        <f>VLOOKUP(D112,'Item Master'!$A$3:$B$11,2,0)</f>
        <v>ROYAL MUSK EXTRAIT DE PARFUM  50ML</v>
      </c>
      <c r="F112" s="19">
        <v>2</v>
      </c>
      <c r="G112" s="23">
        <f>VLOOKUP(D112,'Item Master'!$A$3:$C$11,3,0)/2*F112</f>
        <v>268.69565217391306</v>
      </c>
    </row>
    <row r="113" spans="1:7">
      <c r="A113" s="1" t="s">
        <v>76</v>
      </c>
      <c r="B113" s="1" t="s">
        <v>74</v>
      </c>
      <c r="C113" s="1" t="s">
        <v>73</v>
      </c>
      <c r="D113" s="4">
        <v>6287020840036</v>
      </c>
      <c r="E113" s="1" t="str">
        <f>VLOOKUP(D113,'Item Master'!$A$3:$B$11,2,0)</f>
        <v>ROYAL JASMINE EXTRAIT DE PARFUM  50ML</v>
      </c>
      <c r="F113" s="19">
        <v>2</v>
      </c>
      <c r="G113" s="23">
        <f>VLOOKUP(D113,'Item Master'!$A$3:$C$11,3,0)/2*F113</f>
        <v>294.78260869565219</v>
      </c>
    </row>
    <row r="114" spans="1:7">
      <c r="A114" s="1" t="s">
        <v>76</v>
      </c>
      <c r="B114" s="1" t="s">
        <v>74</v>
      </c>
      <c r="C114" s="1" t="s">
        <v>73</v>
      </c>
      <c r="D114" s="4">
        <v>6287020840029</v>
      </c>
      <c r="E114" s="1" t="str">
        <f>VLOOKUP(D114,'Item Master'!$A$3:$B$11,2,0)</f>
        <v>ROYAL OUD PARFUME 50ML</v>
      </c>
      <c r="F114" s="19">
        <v>2</v>
      </c>
      <c r="G114" s="23">
        <f>VLOOKUP(D114,'Item Master'!$A$3:$C$11,3,0)/2*F114</f>
        <v>373.04347826087002</v>
      </c>
    </row>
    <row r="115" spans="1:7">
      <c r="A115" s="1" t="s">
        <v>76</v>
      </c>
      <c r="B115" s="1" t="s">
        <v>74</v>
      </c>
      <c r="C115" s="1" t="s">
        <v>73</v>
      </c>
      <c r="D115" s="4">
        <v>6287020840050</v>
      </c>
      <c r="E115" s="1" t="str">
        <f>VLOOKUP(D115,'Item Master'!$A$3:$B$11,2,0)</f>
        <v>LADY LULU EXTRAIT DE PARFUM  50ML</v>
      </c>
      <c r="F115" s="19">
        <v>2</v>
      </c>
      <c r="G115" s="23">
        <f>VLOOKUP(D115,'Item Master'!$A$3:$C$11,3,0)/2*F115</f>
        <v>312.17391304347831</v>
      </c>
    </row>
    <row r="116" spans="1:7">
      <c r="A116" s="1" t="s">
        <v>76</v>
      </c>
      <c r="B116" s="1" t="s">
        <v>74</v>
      </c>
      <c r="C116" s="1" t="s">
        <v>73</v>
      </c>
      <c r="D116" s="4">
        <v>6287020840074</v>
      </c>
      <c r="E116" s="1" t="str">
        <f>VLOOKUP(D116,'Item Master'!$A$3:$B$11,2,0)</f>
        <v>EVORA PARFUME 50ML</v>
      </c>
      <c r="F116" s="19">
        <v>2</v>
      </c>
      <c r="G116" s="23">
        <f>VLOOKUP(D116,'Item Master'!$A$3:$C$11,3,0)/2*F116</f>
        <v>320.86956521739131</v>
      </c>
    </row>
    <row r="117" spans="1:7">
      <c r="A117" s="1" t="s">
        <v>76</v>
      </c>
      <c r="B117" s="1" t="s">
        <v>74</v>
      </c>
      <c r="C117" s="1" t="s">
        <v>73</v>
      </c>
      <c r="D117" s="4">
        <v>6287020840067</v>
      </c>
      <c r="E117" s="1" t="str">
        <f>VLOOKUP(D117,'Item Master'!$A$3:$B$11,2,0)</f>
        <v>SOLENN EXTRAIT DE PARFUM  50ML</v>
      </c>
      <c r="F117" s="19">
        <v>2</v>
      </c>
      <c r="G117" s="23">
        <f>VLOOKUP(D117,'Item Master'!$A$3:$C$11,3,0)/2*F117</f>
        <v>320.86956521739131</v>
      </c>
    </row>
    <row r="118" spans="1:7">
      <c r="A118" s="1" t="s">
        <v>76</v>
      </c>
      <c r="B118" s="1" t="s">
        <v>74</v>
      </c>
      <c r="C118" s="1" t="s">
        <v>73</v>
      </c>
      <c r="D118" s="4">
        <v>6287020840098</v>
      </c>
      <c r="E118" s="1" t="str">
        <f>VLOOKUP(D118,'Item Master'!$A$3:$B$11,2,0)</f>
        <v>LUMISK HAIR MUST 35ML</v>
      </c>
      <c r="F118" s="19">
        <v>2</v>
      </c>
      <c r="G118" s="23">
        <f>VLOOKUP(D118,'Item Master'!$A$3:$C$11,3,0)/2*F118</f>
        <v>173.04347826086959</v>
      </c>
    </row>
    <row r="119" spans="1:7">
      <c r="A119" s="1" t="s">
        <v>76</v>
      </c>
      <c r="B119" s="1" t="s">
        <v>74</v>
      </c>
      <c r="C119" s="1" t="s">
        <v>73</v>
      </c>
      <c r="D119" s="4">
        <v>6287020840081</v>
      </c>
      <c r="E119" s="1" t="str">
        <f>VLOOKUP(D119,'Item Master'!$A$3:$B$11,2,0)</f>
        <v>LUNÉRA HAIR MUST  35ML</v>
      </c>
      <c r="F119" s="19">
        <v>2</v>
      </c>
      <c r="G119" s="23">
        <f>VLOOKUP(D119,'Item Master'!$A$3:$C$11,3,0)/2*F119</f>
        <v>164.34782608695653</v>
      </c>
    </row>
    <row r="120" spans="1:7">
      <c r="A120" s="1" t="s">
        <v>76</v>
      </c>
      <c r="B120" s="1" t="s">
        <v>74</v>
      </c>
      <c r="C120" s="1" t="s">
        <v>73</v>
      </c>
      <c r="D120" s="4">
        <v>6287020840104</v>
      </c>
      <c r="E120" s="1" t="str">
        <f>VLOOKUP(D120,'Item Master'!$A$3:$B$11,2,0)</f>
        <v>PEACH MOSS HAIR MUST 35ML</v>
      </c>
      <c r="F120" s="19">
        <v>2</v>
      </c>
      <c r="G120" s="23">
        <f>VLOOKUP(D120,'Item Master'!$A$3:$C$11,3,0)/2*F120</f>
        <v>164.34782608695653</v>
      </c>
    </row>
    <row r="121" spans="1:7">
      <c r="A121" s="1" t="s">
        <v>77</v>
      </c>
      <c r="B121" s="1" t="s">
        <v>47</v>
      </c>
      <c r="C121" s="1" t="s">
        <v>82</v>
      </c>
      <c r="D121" s="4">
        <v>6287020840029</v>
      </c>
      <c r="E121" s="1" t="str">
        <f>VLOOKUP(D121,'Item Master'!$A$3:$B$11,2,0)</f>
        <v>ROYAL OUD PARFUME 50ML</v>
      </c>
      <c r="F121" s="19">
        <v>1</v>
      </c>
      <c r="G121" s="23">
        <f>VLOOKUP(D121,'Item Master'!$A$3:$C$11,3,0)/2*F121</f>
        <v>186.52173913043501</v>
      </c>
    </row>
    <row r="122" spans="1:7">
      <c r="A122" s="1" t="s">
        <v>78</v>
      </c>
      <c r="B122" s="1" t="s">
        <v>48</v>
      </c>
      <c r="C122" s="1" t="s">
        <v>82</v>
      </c>
      <c r="D122" s="4">
        <v>6287020840067</v>
      </c>
      <c r="E122" s="1" t="str">
        <f>VLOOKUP(D122,'Item Master'!$A$3:$B$11,2,0)</f>
        <v>SOLENN EXTRAIT DE PARFUM  50ML</v>
      </c>
      <c r="F122" s="19">
        <v>1</v>
      </c>
      <c r="G122" s="23">
        <f>VLOOKUP(D122,'Item Master'!$A$3:$C$11,3,0)/2*F122</f>
        <v>160.43478260869566</v>
      </c>
    </row>
    <row r="123" spans="1:7">
      <c r="A123" s="1" t="s">
        <v>79</v>
      </c>
      <c r="B123" s="1" t="s">
        <v>47</v>
      </c>
      <c r="C123" s="1" t="s">
        <v>82</v>
      </c>
      <c r="D123" s="4">
        <v>6287020840029</v>
      </c>
      <c r="E123" s="1" t="str">
        <f>VLOOKUP(D123,'Item Master'!$A$3:$B$11,2,0)</f>
        <v>ROYAL OUD PARFUME 50ML</v>
      </c>
      <c r="F123" s="19">
        <v>1</v>
      </c>
      <c r="G123" s="23">
        <f>VLOOKUP(D123,'Item Master'!$A$3:$C$11,3,0)/2*F123</f>
        <v>186.52173913043501</v>
      </c>
    </row>
    <row r="124" spans="1:7">
      <c r="A124" s="1" t="s">
        <v>80</v>
      </c>
      <c r="B124" s="1" t="s">
        <v>48</v>
      </c>
      <c r="C124" s="1" t="s">
        <v>82</v>
      </c>
      <c r="D124" s="4">
        <v>6287020840012</v>
      </c>
      <c r="E124" s="1" t="str">
        <f>VLOOKUP(D124,'Item Master'!$A$3:$B$11,2,0)</f>
        <v>ROYAL MUSK EXTRAIT DE PARFUM  50ML</v>
      </c>
      <c r="F124" s="19">
        <v>1</v>
      </c>
      <c r="G124" s="23">
        <f>VLOOKUP(D124,'Item Master'!$A$3:$C$11,3,0)/2*F124</f>
        <v>134.34782608695653</v>
      </c>
    </row>
    <row r="125" spans="1:7">
      <c r="A125" s="1" t="s">
        <v>81</v>
      </c>
      <c r="B125" s="1" t="s">
        <v>48</v>
      </c>
      <c r="C125" s="1" t="s">
        <v>82</v>
      </c>
      <c r="D125" s="4">
        <v>6287020840029</v>
      </c>
      <c r="E125" s="1" t="str">
        <f>VLOOKUP(D125,'Item Master'!$A$3:$B$11,2,0)</f>
        <v>ROYAL OUD PARFUME 50ML</v>
      </c>
      <c r="F125" s="19">
        <v>1</v>
      </c>
      <c r="G125" s="23">
        <f>VLOOKUP(D125,'Item Master'!$A$3:$C$11,3,0)/2*F125</f>
        <v>186.52173913043501</v>
      </c>
    </row>
    <row r="126" spans="1:7">
      <c r="A126" s="1"/>
      <c r="B126" s="1"/>
      <c r="C126" s="1"/>
      <c r="D126" s="1"/>
      <c r="E126" s="1" t="e">
        <f>VLOOKUP(D126,'Item Master'!$A$3:$B$11,2,0)</f>
        <v>#N/A</v>
      </c>
      <c r="F126" s="19"/>
      <c r="G126" s="23" t="e">
        <f>VLOOKUP(D126,'Item Master'!$A$3:$C$11,3,0)/2*F126</f>
        <v>#N/A</v>
      </c>
    </row>
    <row r="127" spans="1:7">
      <c r="A127" s="1"/>
      <c r="B127" s="1"/>
      <c r="C127" s="1"/>
      <c r="D127" s="1"/>
      <c r="E127" s="1" t="e">
        <f>VLOOKUP(D127,'Item Master'!$A$3:$B$11,2,0)</f>
        <v>#N/A</v>
      </c>
      <c r="F127" s="19"/>
      <c r="G127" s="23" t="e">
        <f>VLOOKUP(D127,'Item Master'!$A$3:$C$11,3,0)/2*F127</f>
        <v>#N/A</v>
      </c>
    </row>
    <row r="128" spans="1:7">
      <c r="A128" s="1"/>
      <c r="B128" s="1"/>
      <c r="C128" s="1"/>
      <c r="D128" s="1"/>
      <c r="E128" s="1" t="e">
        <f>VLOOKUP(D128,'Item Master'!$A$3:$B$11,2,0)</f>
        <v>#N/A</v>
      </c>
      <c r="F128" s="19"/>
      <c r="G128" s="23" t="e">
        <f>VLOOKUP(D128,'Item Master'!$A$3:$C$11,3,0)/2*F128</f>
        <v>#N/A</v>
      </c>
    </row>
    <row r="129" spans="1:7">
      <c r="A129" s="1"/>
      <c r="B129" s="1"/>
      <c r="C129" s="1"/>
      <c r="D129" s="1"/>
      <c r="E129" s="1" t="e">
        <f>VLOOKUP(D129,'Item Master'!$A$3:$B$11,2,0)</f>
        <v>#N/A</v>
      </c>
      <c r="F129" s="19"/>
      <c r="G129" s="23" t="e">
        <f>VLOOKUP(D129,'Item Master'!$A$3:$C$11,3,0)/2*F129</f>
        <v>#N/A</v>
      </c>
    </row>
    <row r="130" spans="1:7">
      <c r="A130" s="1"/>
      <c r="B130" s="1"/>
      <c r="C130" s="1"/>
      <c r="D130" s="1"/>
      <c r="E130" s="1" t="e">
        <f>VLOOKUP(D130,'Item Master'!$A$3:$B$11,2,0)</f>
        <v>#N/A</v>
      </c>
      <c r="F130" s="19"/>
      <c r="G130" s="23" t="e">
        <f>VLOOKUP(D130,'Item Master'!$A$3:$C$11,3,0)/2*F130</f>
        <v>#N/A</v>
      </c>
    </row>
    <row r="131" spans="1:7">
      <c r="A131" s="1"/>
      <c r="B131" s="1"/>
      <c r="C131" s="1"/>
      <c r="D131" s="1"/>
      <c r="E131" s="1" t="e">
        <f>VLOOKUP(D131,'Item Master'!$A$3:$B$11,2,0)</f>
        <v>#N/A</v>
      </c>
      <c r="F131" s="19"/>
      <c r="G131" s="23" t="e">
        <f>VLOOKUP(D131,'Item Master'!$A$3:$C$11,3,0)/2*F131</f>
        <v>#N/A</v>
      </c>
    </row>
    <row r="132" spans="1:7">
      <c r="A132" s="1"/>
      <c r="B132" s="1"/>
      <c r="C132" s="1"/>
      <c r="D132" s="1"/>
      <c r="E132" s="1" t="e">
        <f>VLOOKUP(D132,'Item Master'!$A$3:$B$11,2,0)</f>
        <v>#N/A</v>
      </c>
      <c r="F132" s="19"/>
      <c r="G132" s="23" t="e">
        <f>VLOOKUP(D132,'Item Master'!$A$3:$C$11,3,0)/2*F132</f>
        <v>#N/A</v>
      </c>
    </row>
    <row r="133" spans="1:7">
      <c r="A133" s="1"/>
      <c r="B133" s="1"/>
      <c r="C133" s="1"/>
      <c r="D133" s="1"/>
      <c r="E133" s="1" t="e">
        <f>VLOOKUP(D133,'Item Master'!$A$3:$B$11,2,0)</f>
        <v>#N/A</v>
      </c>
      <c r="F133" s="19"/>
      <c r="G133" s="23" t="e">
        <f>VLOOKUP(D133,'Item Master'!$A$3:$C$11,3,0)/2*F133</f>
        <v>#N/A</v>
      </c>
    </row>
    <row r="134" spans="1:7">
      <c r="A134" s="1"/>
      <c r="B134" s="1"/>
      <c r="C134" s="1"/>
      <c r="D134" s="1"/>
      <c r="E134" s="1" t="e">
        <f>VLOOKUP(D134,'Item Master'!$A$3:$B$11,2,0)</f>
        <v>#N/A</v>
      </c>
      <c r="F134" s="19"/>
      <c r="G134" s="23" t="e">
        <f>VLOOKUP(D134,'Item Master'!$A$3:$C$11,3,0)/2*F134</f>
        <v>#N/A</v>
      </c>
    </row>
    <row r="135" spans="1:7">
      <c r="A135" s="1"/>
      <c r="B135" s="1"/>
      <c r="C135" s="1"/>
      <c r="D135" s="1"/>
      <c r="E135" s="1" t="e">
        <f>VLOOKUP(D135,'Item Master'!$A$3:$B$11,2,0)</f>
        <v>#N/A</v>
      </c>
      <c r="F135" s="19"/>
      <c r="G135" s="23" t="e">
        <f>VLOOKUP(D135,'Item Master'!$A$3:$C$11,3,0)/2*F135</f>
        <v>#N/A</v>
      </c>
    </row>
    <row r="136" spans="1:7">
      <c r="A136" s="1"/>
      <c r="B136" s="1"/>
      <c r="C136" s="1"/>
      <c r="D136" s="1"/>
      <c r="E136" s="1" t="e">
        <f>VLOOKUP(D136,'Item Master'!$A$3:$B$11,2,0)</f>
        <v>#N/A</v>
      </c>
      <c r="F136" s="19"/>
      <c r="G136" s="23" t="e">
        <f>VLOOKUP(D136,'Item Master'!$A$3:$C$11,3,0)/2*F136</f>
        <v>#N/A</v>
      </c>
    </row>
    <row r="137" spans="1:7">
      <c r="A137" s="1"/>
      <c r="B137" s="1"/>
      <c r="C137" s="1"/>
      <c r="D137" s="1"/>
      <c r="E137" s="1" t="e">
        <f>VLOOKUP(D137,'Item Master'!$A$3:$B$11,2,0)</f>
        <v>#N/A</v>
      </c>
      <c r="F137" s="19"/>
      <c r="G137" s="23" t="e">
        <f>VLOOKUP(D137,'Item Master'!$A$3:$C$11,3,0)/2*F137</f>
        <v>#N/A</v>
      </c>
    </row>
    <row r="138" spans="1:7">
      <c r="A138" s="1"/>
      <c r="B138" s="1"/>
      <c r="C138" s="1"/>
      <c r="D138" s="1"/>
      <c r="E138" s="1" t="e">
        <f>VLOOKUP(D138,'Item Master'!$A$3:$B$11,2,0)</f>
        <v>#N/A</v>
      </c>
      <c r="F138" s="19"/>
      <c r="G138" s="23" t="e">
        <f>VLOOKUP(D138,'Item Master'!$A$3:$C$11,3,0)/2*F138</f>
        <v>#N/A</v>
      </c>
    </row>
    <row r="139" spans="1:7">
      <c r="A139" s="1"/>
      <c r="B139" s="1"/>
      <c r="C139" s="1"/>
      <c r="D139" s="1"/>
      <c r="E139" s="1" t="e">
        <f>VLOOKUP(D139,'Item Master'!$A$3:$B$11,2,0)</f>
        <v>#N/A</v>
      </c>
      <c r="F139" s="19"/>
      <c r="G139" s="23" t="e">
        <f>VLOOKUP(D139,'Item Master'!$A$3:$C$11,3,0)/2*F139</f>
        <v>#N/A</v>
      </c>
    </row>
    <row r="140" spans="1:7">
      <c r="A140" s="1"/>
      <c r="B140" s="1"/>
      <c r="C140" s="1"/>
      <c r="D140" s="1"/>
      <c r="E140" s="1" t="e">
        <f>VLOOKUP(D140,'Item Master'!$A$3:$B$11,2,0)</f>
        <v>#N/A</v>
      </c>
      <c r="F140" s="19"/>
      <c r="G140" s="23" t="e">
        <f>VLOOKUP(D140,'Item Master'!$A$3:$C$11,3,0)/2*F140</f>
        <v>#N/A</v>
      </c>
    </row>
    <row r="141" spans="1:7">
      <c r="A141" s="1"/>
      <c r="B141" s="1"/>
      <c r="C141" s="1"/>
      <c r="D141" s="1"/>
      <c r="E141" s="1" t="e">
        <f>VLOOKUP(D141,'Item Master'!$A$3:$B$11,2,0)</f>
        <v>#N/A</v>
      </c>
      <c r="F141" s="19"/>
      <c r="G141" s="23" t="e">
        <f>VLOOKUP(D141,'Item Master'!$A$3:$C$11,3,0)/2*F141</f>
        <v>#N/A</v>
      </c>
    </row>
    <row r="142" spans="1:7">
      <c r="A142" s="1"/>
      <c r="B142" s="1"/>
      <c r="C142" s="1"/>
      <c r="D142" s="1"/>
      <c r="E142" s="1" t="e">
        <f>VLOOKUP(D142,'Item Master'!$A$3:$B$11,2,0)</f>
        <v>#N/A</v>
      </c>
      <c r="F142" s="19"/>
      <c r="G142" s="23" t="e">
        <f>VLOOKUP(D142,'Item Master'!$A$3:$C$11,3,0)/2*F142</f>
        <v>#N/A</v>
      </c>
    </row>
    <row r="143" spans="1:7">
      <c r="A143" s="1"/>
      <c r="B143" s="1"/>
      <c r="C143" s="1"/>
      <c r="D143" s="1"/>
      <c r="E143" s="1" t="e">
        <f>VLOOKUP(D143,'Item Master'!$A$3:$B$11,2,0)</f>
        <v>#N/A</v>
      </c>
      <c r="F143" s="19"/>
      <c r="G143" s="23" t="e">
        <f>VLOOKUP(D143,'Item Master'!$A$3:$C$11,3,0)/2*F143</f>
        <v>#N/A</v>
      </c>
    </row>
    <row r="144" spans="1:7">
      <c r="A144" s="1"/>
      <c r="B144" s="1"/>
      <c r="C144" s="1"/>
      <c r="D144" s="1"/>
      <c r="E144" s="1" t="e">
        <f>VLOOKUP(D144,'Item Master'!$A$3:$B$11,2,0)</f>
        <v>#N/A</v>
      </c>
      <c r="F144" s="19"/>
      <c r="G144" s="23" t="e">
        <f>VLOOKUP(D144,'Item Master'!$A$3:$C$11,3,0)/2*F144</f>
        <v>#N/A</v>
      </c>
    </row>
    <row r="145" spans="1:7">
      <c r="A145" s="1"/>
      <c r="B145" s="1"/>
      <c r="C145" s="1"/>
      <c r="D145" s="1"/>
      <c r="E145" s="1" t="e">
        <f>VLOOKUP(D145,'Item Master'!$A$3:$B$11,2,0)</f>
        <v>#N/A</v>
      </c>
      <c r="F145" s="19"/>
      <c r="G145" s="23" t="e">
        <f>VLOOKUP(D145,'Item Master'!$A$3:$C$11,3,0)/2*F145</f>
        <v>#N/A</v>
      </c>
    </row>
  </sheetData>
  <autoFilter ref="A1:F145" xr:uid="{2F196A48-6E39-4EE6-9155-A97055742611}"/>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A8F29-3C3E-4F72-8855-502242C340AE}">
  <dimension ref="A1:G9"/>
  <sheetViews>
    <sheetView workbookViewId="0">
      <selection activeCell="D1" sqref="D1:D9"/>
    </sheetView>
  </sheetViews>
  <sheetFormatPr defaultRowHeight="13.8"/>
  <cols>
    <col min="3" max="3" width="14.59765625" bestFit="1" customWidth="1"/>
    <col min="4" max="4" width="13.796875" bestFit="1" customWidth="1"/>
    <col min="5" max="5" width="36.3984375" bestFit="1" customWidth="1"/>
  </cols>
  <sheetData>
    <row r="1" spans="1:7">
      <c r="A1" s="3" t="s">
        <v>71</v>
      </c>
      <c r="B1" s="24" t="s">
        <v>52</v>
      </c>
      <c r="C1" s="25" t="s">
        <v>72</v>
      </c>
      <c r="D1" s="4">
        <v>6287020840012</v>
      </c>
      <c r="E1" s="2" t="s">
        <v>28</v>
      </c>
      <c r="F1" s="1">
        <v>1</v>
      </c>
      <c r="G1" s="21">
        <v>134.34782608695653</v>
      </c>
    </row>
    <row r="2" spans="1:7">
      <c r="A2" s="3" t="s">
        <v>71</v>
      </c>
      <c r="B2" s="25" t="s">
        <v>52</v>
      </c>
      <c r="C2" s="25" t="s">
        <v>72</v>
      </c>
      <c r="D2" s="4">
        <v>6287020840036</v>
      </c>
      <c r="E2" s="2" t="s">
        <v>27</v>
      </c>
      <c r="F2" s="1">
        <v>1</v>
      </c>
      <c r="G2" s="21">
        <v>147.39130434782609</v>
      </c>
    </row>
    <row r="3" spans="1:7">
      <c r="A3" s="3" t="s">
        <v>71</v>
      </c>
      <c r="B3" s="24" t="s">
        <v>52</v>
      </c>
      <c r="C3" s="25" t="s">
        <v>72</v>
      </c>
      <c r="D3" s="4">
        <v>6287020840029</v>
      </c>
      <c r="E3" s="2" t="s">
        <v>29</v>
      </c>
      <c r="F3" s="1">
        <v>1</v>
      </c>
      <c r="G3" s="21">
        <v>186.52173913043501</v>
      </c>
    </row>
    <row r="4" spans="1:7">
      <c r="A4" s="3" t="s">
        <v>71</v>
      </c>
      <c r="B4" s="24" t="s">
        <v>52</v>
      </c>
      <c r="C4" s="25" t="s">
        <v>72</v>
      </c>
      <c r="D4" s="4">
        <v>6287020840050</v>
      </c>
      <c r="E4" s="2" t="s">
        <v>30</v>
      </c>
      <c r="F4" s="1">
        <v>1</v>
      </c>
      <c r="G4" s="21">
        <v>156.08695652173915</v>
      </c>
    </row>
    <row r="5" spans="1:7">
      <c r="A5" s="3" t="s">
        <v>71</v>
      </c>
      <c r="B5" s="24" t="s">
        <v>52</v>
      </c>
      <c r="C5" s="25" t="s">
        <v>72</v>
      </c>
      <c r="D5" s="4">
        <v>6287020840074</v>
      </c>
      <c r="E5" s="2" t="s">
        <v>31</v>
      </c>
      <c r="F5" s="1">
        <v>1</v>
      </c>
      <c r="G5" s="21">
        <v>160.43478260869566</v>
      </c>
    </row>
    <row r="6" spans="1:7">
      <c r="A6" s="3" t="s">
        <v>71</v>
      </c>
      <c r="B6" s="24" t="s">
        <v>52</v>
      </c>
      <c r="C6" s="25" t="s">
        <v>72</v>
      </c>
      <c r="D6" s="4">
        <v>6287020840067</v>
      </c>
      <c r="E6" s="2" t="s">
        <v>32</v>
      </c>
      <c r="F6" s="1">
        <v>1</v>
      </c>
      <c r="G6" s="21">
        <v>160.43478260869566</v>
      </c>
    </row>
    <row r="7" spans="1:7">
      <c r="A7" s="3" t="s">
        <v>71</v>
      </c>
      <c r="B7" s="24" t="s">
        <v>52</v>
      </c>
      <c r="C7" s="25" t="s">
        <v>72</v>
      </c>
      <c r="D7" s="4">
        <v>6287020840098</v>
      </c>
      <c r="E7" s="2" t="s">
        <v>33</v>
      </c>
      <c r="F7" s="1">
        <v>1</v>
      </c>
      <c r="G7" s="21">
        <v>86.521739130434796</v>
      </c>
    </row>
    <row r="8" spans="1:7">
      <c r="A8" s="3" t="s">
        <v>71</v>
      </c>
      <c r="B8" s="24" t="s">
        <v>52</v>
      </c>
      <c r="C8" s="25" t="s">
        <v>72</v>
      </c>
      <c r="D8" s="4">
        <v>6287020840081</v>
      </c>
      <c r="E8" s="2" t="s">
        <v>34</v>
      </c>
      <c r="F8" s="1">
        <v>1</v>
      </c>
      <c r="G8" s="21">
        <v>82.173913043478265</v>
      </c>
    </row>
    <row r="9" spans="1:7">
      <c r="A9" s="3" t="s">
        <v>71</v>
      </c>
      <c r="B9" s="24" t="s">
        <v>52</v>
      </c>
      <c r="C9" s="25" t="s">
        <v>72</v>
      </c>
      <c r="D9" s="4">
        <v>6287020840104</v>
      </c>
      <c r="E9" s="2" t="s">
        <v>35</v>
      </c>
      <c r="F9" s="1">
        <v>1</v>
      </c>
      <c r="G9" s="21">
        <v>82.173913043478265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B983E-807B-498C-86F4-F4D395F003AE}">
  <dimension ref="A1:GZ12"/>
  <sheetViews>
    <sheetView workbookViewId="0">
      <selection activeCell="B10" sqref="B10"/>
    </sheetView>
  </sheetViews>
  <sheetFormatPr defaultColWidth="11.5" defaultRowHeight="13.2"/>
  <cols>
    <col min="1" max="1" width="13.796875" style="5" bestFit="1" customWidth="1"/>
    <col min="2" max="2" width="40.5" style="5" bestFit="1" customWidth="1"/>
    <col min="3" max="3" width="20.796875" style="5" bestFit="1" customWidth="1"/>
    <col min="4" max="4" width="13.19921875" style="5" bestFit="1" customWidth="1"/>
    <col min="5" max="16384" width="11.5" style="5"/>
  </cols>
  <sheetData>
    <row r="1" spans="1:208">
      <c r="A1" s="8" t="s">
        <v>40</v>
      </c>
      <c r="B1" s="8"/>
      <c r="C1" s="8"/>
      <c r="D1" s="8"/>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7"/>
    </row>
    <row r="2" spans="1:208" s="13" customFormat="1">
      <c r="A2" s="9" t="s">
        <v>41</v>
      </c>
      <c r="B2" s="9" t="s">
        <v>37</v>
      </c>
      <c r="C2" s="10" t="s">
        <v>42</v>
      </c>
      <c r="D2" s="10" t="s">
        <v>43</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2"/>
    </row>
    <row r="3" spans="1:208">
      <c r="A3" s="14">
        <v>6287020840012</v>
      </c>
      <c r="B3" s="2" t="s">
        <v>28</v>
      </c>
      <c r="C3" s="15">
        <v>268.69565217391306</v>
      </c>
      <c r="D3" s="15">
        <v>309</v>
      </c>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7"/>
    </row>
    <row r="4" spans="1:208">
      <c r="A4" s="14">
        <v>6287020840029</v>
      </c>
      <c r="B4" s="2" t="s">
        <v>29</v>
      </c>
      <c r="C4" s="15">
        <v>373.04347826087002</v>
      </c>
      <c r="D4" s="15">
        <v>429.00000000000051</v>
      </c>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7"/>
    </row>
    <row r="5" spans="1:208">
      <c r="A5" s="14">
        <v>6287020840036</v>
      </c>
      <c r="B5" s="2" t="s">
        <v>27</v>
      </c>
      <c r="C5" s="15">
        <v>294.78260869565219</v>
      </c>
      <c r="D5" s="15">
        <v>339</v>
      </c>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7"/>
    </row>
    <row r="6" spans="1:208">
      <c r="A6" s="14">
        <v>6287020840050</v>
      </c>
      <c r="B6" s="2" t="s">
        <v>30</v>
      </c>
      <c r="C6" s="15">
        <v>312.17391304347831</v>
      </c>
      <c r="D6" s="15">
        <v>359</v>
      </c>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7"/>
    </row>
    <row r="7" spans="1:208">
      <c r="A7" s="14">
        <v>6287020840067</v>
      </c>
      <c r="B7" s="2" t="s">
        <v>85</v>
      </c>
      <c r="C7" s="15">
        <v>320.86956521739131</v>
      </c>
      <c r="D7" s="15">
        <v>369</v>
      </c>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7"/>
    </row>
    <row r="8" spans="1:208">
      <c r="A8" s="14">
        <v>6287020840074</v>
      </c>
      <c r="B8" s="2" t="s">
        <v>31</v>
      </c>
      <c r="C8" s="15">
        <v>320.86956521739131</v>
      </c>
      <c r="D8" s="15">
        <v>369</v>
      </c>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7"/>
    </row>
    <row r="9" spans="1:208">
      <c r="A9" s="14">
        <v>6287020840081</v>
      </c>
      <c r="B9" s="2" t="s">
        <v>34</v>
      </c>
      <c r="C9" s="15">
        <v>164.34782608695653</v>
      </c>
      <c r="D9" s="15">
        <v>189</v>
      </c>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7"/>
    </row>
    <row r="10" spans="1:208">
      <c r="A10" s="14">
        <v>6287020840104</v>
      </c>
      <c r="B10" s="2" t="s">
        <v>35</v>
      </c>
      <c r="C10" s="15">
        <v>164.34782608695653</v>
      </c>
      <c r="D10" s="15">
        <v>189</v>
      </c>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7"/>
    </row>
    <row r="11" spans="1:208">
      <c r="A11" s="14">
        <v>6287020840098</v>
      </c>
      <c r="B11" s="2" t="s">
        <v>33</v>
      </c>
      <c r="C11" s="15">
        <v>173.04347826086959</v>
      </c>
      <c r="D11" s="15">
        <v>199.00000000000003</v>
      </c>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7"/>
    </row>
    <row r="12" spans="1:208">
      <c r="A12" s="16"/>
      <c r="B12" s="6"/>
      <c r="C12" s="17"/>
      <c r="D12" s="17"/>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4</vt:i4>
      </vt:variant>
    </vt:vector>
  </HeadingPairs>
  <TitlesOfParts>
    <vt:vector size="4" baseType="lpstr">
      <vt:lpstr>Summary</vt:lpstr>
      <vt:lpstr>Master Gifting</vt:lpstr>
      <vt:lpstr>Sheet1</vt:lpstr>
      <vt:lpstr>Item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Haya AlYousef</dc:creator>
  <cp:lastModifiedBy>Haya AlYousef</cp:lastModifiedBy>
  <dcterms:created xsi:type="dcterms:W3CDTF">2025-12-23T07:33:44Z</dcterms:created>
  <dcterms:modified xsi:type="dcterms:W3CDTF">2026-04-02T07:26:04Z</dcterms:modified>
</cp:coreProperties>
</file>