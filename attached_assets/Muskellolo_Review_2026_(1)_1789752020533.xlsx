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adwan\OneDrive\Desktop\"/>
    </mc:Choice>
  </mc:AlternateContent>
  <xr:revisionPtr revIDLastSave="0" documentId="13_ncr:1_{2EEBD381-FE82-4214-BF12-BF3D3875C7F2}" xr6:coauthVersionLast="47" xr6:coauthVersionMax="47" xr10:uidLastSave="{00000000-0000-0000-0000-000000000000}"/>
  <bookViews>
    <workbookView xWindow="-98" yWindow="-98" windowWidth="21795" windowHeight="13875" tabRatio="928" firstSheet="1" activeTab="5" xr2:uid="{00000000-000D-0000-FFFF-FFFF00000000}"/>
  </bookViews>
  <sheets>
    <sheet name="INN" sheetId="56" state="hidden" r:id="rId1"/>
    <sheet name="PRICE STRUCTURE" sheetId="60" r:id="rId2"/>
    <sheet name="Sheet6" sheetId="44" state="hidden" r:id="rId3"/>
    <sheet name="Summary By Brands" sheetId="38" state="hidden" r:id="rId4"/>
    <sheet name="Summary By Retiller" sheetId="61" r:id="rId5"/>
    <sheet name="Master" sheetId="40" r:id="rId6"/>
    <sheet name="JUSBOX" sheetId="41" state="hidden" r:id="rId7"/>
    <sheet name="Building Block" sheetId="57" r:id="rId8"/>
    <sheet name="NN FORECAST" sheetId="45" r:id="rId9"/>
  </sheets>
  <definedNames>
    <definedName name="_xlnm._FilterDatabase" localSheetId="5" hidden="1">Master!$A$6:$AK$17</definedName>
    <definedName name="_xlnm._FilterDatabase" localSheetId="4" hidden="1">'Summary By Retiller'!$A$3:$J$14</definedName>
    <definedName name="Jacques_BOGART">#REF!</definedName>
    <definedName name="_xlnm.Print_Area" localSheetId="1">'PRICE STRUCTURE'!$A$1:$F$32</definedName>
    <definedName name="TED_LAPIDUS">#REF!</definedName>
  </definedNames>
  <calcPr calcId="18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1" i="40" l="1"/>
  <c r="AD31" i="40" s="1"/>
  <c r="O31" i="40"/>
  <c r="AC31" i="40" s="1"/>
  <c r="N31" i="40"/>
  <c r="AB31" i="40" s="1"/>
  <c r="M31" i="40"/>
  <c r="AA31" i="40" s="1"/>
  <c r="L31" i="40"/>
  <c r="K31" i="40"/>
  <c r="J31" i="40"/>
  <c r="X31" i="40" s="1"/>
  <c r="I31" i="40"/>
  <c r="W31" i="40" s="1"/>
  <c r="H31" i="40"/>
  <c r="V31" i="40" s="1"/>
  <c r="G31" i="40"/>
  <c r="U31" i="40" s="1"/>
  <c r="F31" i="40"/>
  <c r="E31" i="40"/>
  <c r="P17" i="40"/>
  <c r="O17" i="40"/>
  <c r="N17" i="40"/>
  <c r="M17" i="40"/>
  <c r="L17" i="40"/>
  <c r="K17" i="40"/>
  <c r="J17" i="40"/>
  <c r="I17" i="40"/>
  <c r="H17" i="40"/>
  <c r="G17" i="40"/>
  <c r="F17" i="40"/>
  <c r="E17" i="40"/>
  <c r="D16" i="40"/>
  <c r="D31" i="40" s="1"/>
  <c r="D15" i="40"/>
  <c r="D30" i="40" s="1"/>
  <c r="AE30" i="40" s="1"/>
  <c r="D14" i="40"/>
  <c r="D29" i="40" s="1"/>
  <c r="AE29" i="40" s="1"/>
  <c r="D13" i="40"/>
  <c r="D12" i="40"/>
  <c r="D11" i="40"/>
  <c r="D10" i="40"/>
  <c r="D9" i="40"/>
  <c r="D8" i="40"/>
  <c r="D17" i="40" s="1"/>
  <c r="D7" i="40"/>
  <c r="C30" i="61"/>
  <c r="D7" i="61"/>
  <c r="Y31" i="40"/>
  <c r="S31" i="40"/>
  <c r="Z31" i="40"/>
  <c r="T31" i="40"/>
  <c r="C32" i="40"/>
  <c r="C17" i="40"/>
  <c r="E30" i="61"/>
  <c r="D29" i="61"/>
  <c r="D13" i="61"/>
  <c r="E13" i="61" s="1"/>
  <c r="F13" i="61"/>
  <c r="G13" i="61" s="1"/>
  <c r="C14" i="61"/>
  <c r="P72" i="57"/>
  <c r="O72" i="57"/>
  <c r="N72" i="57"/>
  <c r="M72" i="57"/>
  <c r="L72" i="57"/>
  <c r="K72" i="57"/>
  <c r="J72" i="57"/>
  <c r="I72" i="57"/>
  <c r="H72" i="57"/>
  <c r="G72" i="57"/>
  <c r="F72" i="57"/>
  <c r="E72" i="57"/>
  <c r="D64" i="57"/>
  <c r="D65" i="57" s="1"/>
  <c r="D69" i="57" s="1"/>
  <c r="P68" i="57"/>
  <c r="O68" i="57"/>
  <c r="N68" i="57"/>
  <c r="M68" i="57"/>
  <c r="L68" i="57"/>
  <c r="K68" i="57"/>
  <c r="D67" i="57"/>
  <c r="D68" i="57" s="1"/>
  <c r="P65" i="57"/>
  <c r="P69" i="57" s="1"/>
  <c r="P70" i="57" s="1"/>
  <c r="O65" i="57"/>
  <c r="O69" i="57" s="1"/>
  <c r="O70" i="57" s="1"/>
  <c r="N65" i="57"/>
  <c r="N69" i="57" s="1"/>
  <c r="M65" i="57"/>
  <c r="M69" i="57" s="1"/>
  <c r="M70" i="57" s="1"/>
  <c r="L65" i="57"/>
  <c r="L69" i="57" s="1"/>
  <c r="K65" i="57"/>
  <c r="K69" i="57" s="1"/>
  <c r="J65" i="57"/>
  <c r="J66" i="57" s="1"/>
  <c r="J68" i="57" s="1"/>
  <c r="I65" i="57"/>
  <c r="I66" i="57" s="1"/>
  <c r="I68" i="57" s="1"/>
  <c r="H65" i="57"/>
  <c r="H66" i="57" s="1"/>
  <c r="H68" i="57" s="1"/>
  <c r="G65" i="57"/>
  <c r="G66" i="57" s="1"/>
  <c r="G68" i="57" s="1"/>
  <c r="F65" i="57"/>
  <c r="F66" i="57" s="1"/>
  <c r="F68" i="57" s="1"/>
  <c r="E65" i="57"/>
  <c r="E66" i="57" s="1"/>
  <c r="E68" i="57" s="1"/>
  <c r="P61" i="57"/>
  <c r="F61" i="57"/>
  <c r="I53" i="57"/>
  <c r="G53" i="57"/>
  <c r="J28" i="57"/>
  <c r="I28" i="57"/>
  <c r="H28" i="57"/>
  <c r="G28" i="57"/>
  <c r="F28" i="57"/>
  <c r="E28" i="57"/>
  <c r="P57" i="57"/>
  <c r="O57" i="57"/>
  <c r="O61" i="57" s="1"/>
  <c r="N57" i="57"/>
  <c r="N61" i="57" s="1"/>
  <c r="M57" i="57"/>
  <c r="M61" i="57" s="1"/>
  <c r="L57" i="57"/>
  <c r="L61" i="57" s="1"/>
  <c r="K57" i="57"/>
  <c r="K61" i="57" s="1"/>
  <c r="J57" i="57"/>
  <c r="J61" i="57" s="1"/>
  <c r="I57" i="57"/>
  <c r="I61" i="57" s="1"/>
  <c r="H57" i="57"/>
  <c r="H61" i="57" s="1"/>
  <c r="G57" i="57"/>
  <c r="G61" i="57" s="1"/>
  <c r="F57" i="57"/>
  <c r="E57" i="57"/>
  <c r="E61" i="57" s="1"/>
  <c r="D50" i="57"/>
  <c r="P49" i="57"/>
  <c r="P53" i="57" s="1"/>
  <c r="O49" i="57"/>
  <c r="O53" i="57" s="1"/>
  <c r="N49" i="57"/>
  <c r="N53" i="57" s="1"/>
  <c r="M49" i="57"/>
  <c r="M53" i="57" s="1"/>
  <c r="L49" i="57"/>
  <c r="L53" i="57" s="1"/>
  <c r="K49" i="57"/>
  <c r="K53" i="57" s="1"/>
  <c r="J49" i="57"/>
  <c r="J53" i="57" s="1"/>
  <c r="I49" i="57"/>
  <c r="H49" i="57"/>
  <c r="H53" i="57" s="1"/>
  <c r="G49" i="57"/>
  <c r="F49" i="57"/>
  <c r="F53" i="57" s="1"/>
  <c r="E49" i="57"/>
  <c r="E53" i="57" s="1"/>
  <c r="P41" i="57"/>
  <c r="P45" i="57" s="1"/>
  <c r="O41" i="57"/>
  <c r="O45" i="57" s="1"/>
  <c r="N41" i="57"/>
  <c r="N45" i="57" s="1"/>
  <c r="M41" i="57"/>
  <c r="M45" i="57" s="1"/>
  <c r="L41" i="57"/>
  <c r="L45" i="57" s="1"/>
  <c r="K41" i="57"/>
  <c r="K45" i="57" s="1"/>
  <c r="J41" i="57"/>
  <c r="J45" i="57" s="1"/>
  <c r="I41" i="57"/>
  <c r="I45" i="57" s="1"/>
  <c r="H41" i="57"/>
  <c r="H45" i="57" s="1"/>
  <c r="G41" i="57"/>
  <c r="G45" i="57" s="1"/>
  <c r="F41" i="57"/>
  <c r="F45" i="57" s="1"/>
  <c r="E41" i="57"/>
  <c r="E45" i="57" s="1"/>
  <c r="P32" i="57"/>
  <c r="P37" i="57" s="1"/>
  <c r="O32" i="57"/>
  <c r="O37" i="57" s="1"/>
  <c r="N32" i="57"/>
  <c r="N37" i="57" s="1"/>
  <c r="M32" i="57"/>
  <c r="M37" i="57" s="1"/>
  <c r="L32" i="57"/>
  <c r="L37" i="57" s="1"/>
  <c r="K32" i="57"/>
  <c r="K37" i="57" s="1"/>
  <c r="J32" i="57"/>
  <c r="J37" i="57" s="1"/>
  <c r="I32" i="57"/>
  <c r="I37" i="57" s="1"/>
  <c r="H32" i="57"/>
  <c r="H37" i="57" s="1"/>
  <c r="G32" i="57"/>
  <c r="G37" i="57" s="1"/>
  <c r="F32" i="57"/>
  <c r="F37" i="57" s="1"/>
  <c r="E32" i="57"/>
  <c r="E37" i="57" s="1"/>
  <c r="P14" i="57"/>
  <c r="P20" i="57" s="1"/>
  <c r="O14" i="57"/>
  <c r="O20" i="57" s="1"/>
  <c r="N14" i="57"/>
  <c r="N20" i="57" s="1"/>
  <c r="M14" i="57"/>
  <c r="M20" i="57" s="1"/>
  <c r="L14" i="57"/>
  <c r="L20" i="57" s="1"/>
  <c r="K14" i="57"/>
  <c r="K20" i="57" s="1"/>
  <c r="J14" i="57"/>
  <c r="J20" i="57" s="1"/>
  <c r="I14" i="57"/>
  <c r="I20" i="57" s="1"/>
  <c r="H14" i="57"/>
  <c r="H20" i="57" s="1"/>
  <c r="G14" i="57"/>
  <c r="G20" i="57" s="1"/>
  <c r="F14" i="57"/>
  <c r="F20" i="57" s="1"/>
  <c r="E14" i="57"/>
  <c r="E20" i="57" s="1"/>
  <c r="P24" i="57"/>
  <c r="P28" i="57" s="1"/>
  <c r="O24" i="57"/>
  <c r="O28" i="57" s="1"/>
  <c r="N24" i="57"/>
  <c r="N28" i="57" s="1"/>
  <c r="M24" i="57"/>
  <c r="M28" i="57" s="1"/>
  <c r="L24" i="57"/>
  <c r="L28" i="57" s="1"/>
  <c r="K24" i="57"/>
  <c r="K28" i="57" s="1"/>
  <c r="D49" i="57"/>
  <c r="D32" i="57"/>
  <c r="D37" i="57" s="1"/>
  <c r="D24" i="57"/>
  <c r="D28" i="57" s="1"/>
  <c r="D14" i="57"/>
  <c r="D20" i="57" s="1"/>
  <c r="AB30" i="40"/>
  <c r="Z30" i="40"/>
  <c r="X30" i="40"/>
  <c r="W30" i="40"/>
  <c r="V30" i="40"/>
  <c r="U30" i="40"/>
  <c r="T30" i="40"/>
  <c r="S30" i="40"/>
  <c r="X29" i="40"/>
  <c r="W29" i="40"/>
  <c r="V29" i="40"/>
  <c r="U29" i="40"/>
  <c r="T29" i="40"/>
  <c r="S29" i="40"/>
  <c r="J28" i="40"/>
  <c r="P30" i="40"/>
  <c r="AD30" i="40" s="1"/>
  <c r="O30" i="40"/>
  <c r="AC30" i="40" s="1"/>
  <c r="N30" i="40"/>
  <c r="M30" i="40"/>
  <c r="AA30" i="40" s="1"/>
  <c r="L30" i="40"/>
  <c r="K30" i="40"/>
  <c r="Y30" i="40" s="1"/>
  <c r="P29" i="40"/>
  <c r="AD29" i="40" s="1"/>
  <c r="O29" i="40"/>
  <c r="AC29" i="40" s="1"/>
  <c r="N29" i="40"/>
  <c r="AB29" i="40" s="1"/>
  <c r="M29" i="40"/>
  <c r="AA29" i="40" s="1"/>
  <c r="L29" i="40"/>
  <c r="Z29" i="40" s="1"/>
  <c r="K29" i="40"/>
  <c r="Y29" i="40" s="1"/>
  <c r="D11" i="61"/>
  <c r="E11" i="61" s="1"/>
  <c r="D10" i="61"/>
  <c r="D12" i="61"/>
  <c r="E12" i="61" s="1"/>
  <c r="G6" i="57"/>
  <c r="P6" i="57"/>
  <c r="P74" i="57" s="1"/>
  <c r="O6" i="57"/>
  <c r="O74" i="57" s="1"/>
  <c r="N6" i="57"/>
  <c r="N74" i="57" s="1"/>
  <c r="M6" i="57"/>
  <c r="M74" i="57" s="1"/>
  <c r="L6" i="57"/>
  <c r="L74" i="57" s="1"/>
  <c r="K6" i="57"/>
  <c r="J6" i="57"/>
  <c r="I6" i="57"/>
  <c r="H6" i="57"/>
  <c r="E6" i="57"/>
  <c r="P5" i="57"/>
  <c r="P10" i="57" s="1"/>
  <c r="O5" i="57"/>
  <c r="O10" i="57" s="1"/>
  <c r="N5" i="57"/>
  <c r="N10" i="57" s="1"/>
  <c r="M5" i="57"/>
  <c r="M10" i="57" s="1"/>
  <c r="L5" i="57"/>
  <c r="L10" i="57" s="1"/>
  <c r="K5" i="57"/>
  <c r="K10" i="57" s="1"/>
  <c r="J5" i="57"/>
  <c r="J73" i="57" s="1"/>
  <c r="I5" i="57"/>
  <c r="H5" i="57"/>
  <c r="H10" i="57" s="1"/>
  <c r="G5" i="57"/>
  <c r="G10" i="57" s="1"/>
  <c r="F5" i="57"/>
  <c r="F10" i="57" s="1"/>
  <c r="E5" i="57"/>
  <c r="I73" i="57" l="1"/>
  <c r="L70" i="57"/>
  <c r="E73" i="57"/>
  <c r="N70" i="57"/>
  <c r="F73" i="57"/>
  <c r="I10" i="57"/>
  <c r="G73" i="57"/>
  <c r="J10" i="57"/>
  <c r="P73" i="57"/>
  <c r="R31" i="40"/>
  <c r="AE31" i="40"/>
  <c r="R29" i="40"/>
  <c r="R30" i="40"/>
  <c r="H73" i="57"/>
  <c r="K73" i="57"/>
  <c r="L73" i="57"/>
  <c r="M73" i="57"/>
  <c r="N73" i="57"/>
  <c r="O73" i="57"/>
  <c r="D53" i="57"/>
  <c r="K70" i="57"/>
  <c r="E69" i="57"/>
  <c r="E70" i="57" s="1"/>
  <c r="F69" i="57"/>
  <c r="G69" i="57"/>
  <c r="G70" i="57" s="1"/>
  <c r="F70" i="57"/>
  <c r="D70" i="57"/>
  <c r="H69" i="57"/>
  <c r="H70" i="57" s="1"/>
  <c r="I69" i="57"/>
  <c r="I70" i="57" s="1"/>
  <c r="J69" i="57"/>
  <c r="J70" i="57" s="1"/>
  <c r="D5" i="57"/>
  <c r="D27" i="61"/>
  <c r="D28" i="61"/>
  <c r="E6" i="61"/>
  <c r="P23" i="40"/>
  <c r="AD23" i="40" s="1"/>
  <c r="O23" i="40"/>
  <c r="AC23" i="40" s="1"/>
  <c r="N23" i="40"/>
  <c r="AB23" i="40" s="1"/>
  <c r="M23" i="40"/>
  <c r="AA23" i="40" s="1"/>
  <c r="L23" i="40"/>
  <c r="Z23" i="40" s="1"/>
  <c r="K23" i="40"/>
  <c r="Y23" i="40" s="1"/>
  <c r="J23" i="40"/>
  <c r="I23" i="40"/>
  <c r="W23" i="40" s="1"/>
  <c r="H23" i="40"/>
  <c r="V23" i="40" s="1"/>
  <c r="G23" i="40"/>
  <c r="F23" i="40"/>
  <c r="T23" i="40" s="1"/>
  <c r="E23" i="40"/>
  <c r="N22" i="40"/>
  <c r="M22" i="40"/>
  <c r="L33" i="40"/>
  <c r="K22" i="40"/>
  <c r="G22" i="40"/>
  <c r="F22" i="40"/>
  <c r="E22" i="40"/>
  <c r="J33" i="40"/>
  <c r="I33" i="40"/>
  <c r="H33" i="40"/>
  <c r="U23" i="40"/>
  <c r="D5" i="61"/>
  <c r="E5" i="61" s="1"/>
  <c r="D22" i="61"/>
  <c r="X28" i="40"/>
  <c r="P28" i="40"/>
  <c r="O28" i="40"/>
  <c r="N28" i="40"/>
  <c r="M28" i="40"/>
  <c r="L28" i="40"/>
  <c r="K28" i="40"/>
  <c r="I28" i="40"/>
  <c r="W28" i="40" s="1"/>
  <c r="H28" i="40"/>
  <c r="V28" i="40" s="1"/>
  <c r="G28" i="40"/>
  <c r="U28" i="40" s="1"/>
  <c r="F28" i="40"/>
  <c r="T28" i="40" s="1"/>
  <c r="E28" i="40"/>
  <c r="S28" i="40" s="1"/>
  <c r="D28" i="40"/>
  <c r="P27" i="40"/>
  <c r="AD27" i="40" s="1"/>
  <c r="O27" i="40"/>
  <c r="AC27" i="40" s="1"/>
  <c r="N27" i="40"/>
  <c r="AB27" i="40" s="1"/>
  <c r="M27" i="40"/>
  <c r="AA27" i="40" s="1"/>
  <c r="L27" i="40"/>
  <c r="Z27" i="40" s="1"/>
  <c r="K27" i="40"/>
  <c r="Y27" i="40" s="1"/>
  <c r="J27" i="40"/>
  <c r="X27" i="40" s="1"/>
  <c r="I27" i="40"/>
  <c r="W27" i="40" s="1"/>
  <c r="H27" i="40"/>
  <c r="V27" i="40" s="1"/>
  <c r="G27" i="40"/>
  <c r="U27" i="40" s="1"/>
  <c r="F27" i="40"/>
  <c r="T27" i="40" s="1"/>
  <c r="E27" i="40"/>
  <c r="S27" i="40" s="1"/>
  <c r="D27" i="40"/>
  <c r="AE27" i="40" s="1"/>
  <c r="P26" i="40"/>
  <c r="AD26" i="40" s="1"/>
  <c r="O26" i="40"/>
  <c r="AC26" i="40" s="1"/>
  <c r="N26" i="40"/>
  <c r="AB26" i="40" s="1"/>
  <c r="M26" i="40"/>
  <c r="AA26" i="40" s="1"/>
  <c r="L26" i="40"/>
  <c r="Z26" i="40" s="1"/>
  <c r="K26" i="40"/>
  <c r="Y26" i="40" s="1"/>
  <c r="J26" i="40"/>
  <c r="X26" i="40" s="1"/>
  <c r="I26" i="40"/>
  <c r="W26" i="40" s="1"/>
  <c r="H26" i="40"/>
  <c r="V26" i="40" s="1"/>
  <c r="G26" i="40"/>
  <c r="U26" i="40" s="1"/>
  <c r="F26" i="40"/>
  <c r="T26" i="40" s="1"/>
  <c r="E26" i="40"/>
  <c r="S26" i="40" s="1"/>
  <c r="D26" i="40"/>
  <c r="AE26" i="40" s="1"/>
  <c r="P25" i="40"/>
  <c r="AD25" i="40" s="1"/>
  <c r="O25" i="40"/>
  <c r="AC25" i="40" s="1"/>
  <c r="N25" i="40"/>
  <c r="AB25" i="40" s="1"/>
  <c r="M25" i="40"/>
  <c r="AA25" i="40" s="1"/>
  <c r="L25" i="40"/>
  <c r="Z25" i="40" s="1"/>
  <c r="K25" i="40"/>
  <c r="Y25" i="40" s="1"/>
  <c r="J25" i="40"/>
  <c r="X25" i="40" s="1"/>
  <c r="I25" i="40"/>
  <c r="W25" i="40" s="1"/>
  <c r="H25" i="40"/>
  <c r="V25" i="40" s="1"/>
  <c r="G25" i="40"/>
  <c r="U25" i="40" s="1"/>
  <c r="F25" i="40"/>
  <c r="T25" i="40" s="1"/>
  <c r="E25" i="40"/>
  <c r="S25" i="40" s="1"/>
  <c r="D25" i="40"/>
  <c r="AE25" i="40" s="1"/>
  <c r="P24" i="40"/>
  <c r="AD24" i="40" s="1"/>
  <c r="O24" i="40"/>
  <c r="AC24" i="40" s="1"/>
  <c r="N24" i="40"/>
  <c r="AB24" i="40" s="1"/>
  <c r="M24" i="40"/>
  <c r="AA24" i="40" s="1"/>
  <c r="L24" i="40"/>
  <c r="Z24" i="40" s="1"/>
  <c r="K24" i="40"/>
  <c r="Y24" i="40" s="1"/>
  <c r="J24" i="40"/>
  <c r="X24" i="40" s="1"/>
  <c r="I24" i="40"/>
  <c r="W24" i="40" s="1"/>
  <c r="H24" i="40"/>
  <c r="V24" i="40" s="1"/>
  <c r="G24" i="40"/>
  <c r="U24" i="40" s="1"/>
  <c r="F24" i="40"/>
  <c r="T24" i="40" s="1"/>
  <c r="E24" i="40"/>
  <c r="S24" i="40" s="1"/>
  <c r="P22" i="40"/>
  <c r="O22" i="40"/>
  <c r="J22" i="40"/>
  <c r="I22" i="40"/>
  <c r="H22" i="40"/>
  <c r="E7" i="61"/>
  <c r="D24" i="40"/>
  <c r="AE24" i="40" s="1"/>
  <c r="E10" i="61"/>
  <c r="E9" i="61"/>
  <c r="E8" i="61"/>
  <c r="D4" i="61"/>
  <c r="E10" i="57"/>
  <c r="D29" i="60"/>
  <c r="E27" i="60"/>
  <c r="E26" i="60"/>
  <c r="E24" i="60"/>
  <c r="D7" i="60"/>
  <c r="E5" i="60" s="1"/>
  <c r="J32" i="40" l="1"/>
  <c r="AC22" i="40"/>
  <c r="O32" i="40"/>
  <c r="E32" i="40"/>
  <c r="AD22" i="40"/>
  <c r="P32" i="40"/>
  <c r="F32" i="40"/>
  <c r="AA22" i="40"/>
  <c r="M32" i="40"/>
  <c r="AB22" i="40"/>
  <c r="AB32" i="40" s="1"/>
  <c r="N32" i="40"/>
  <c r="G32" i="40"/>
  <c r="H32" i="40"/>
  <c r="I32" i="40"/>
  <c r="Y22" i="40"/>
  <c r="K32" i="40"/>
  <c r="D14" i="61"/>
  <c r="V22" i="40"/>
  <c r="V32" i="40" s="1"/>
  <c r="W22" i="40"/>
  <c r="W32" i="40" s="1"/>
  <c r="X22" i="40"/>
  <c r="S22" i="40"/>
  <c r="S32" i="40" s="1"/>
  <c r="T22" i="40"/>
  <c r="T32" i="40" s="1"/>
  <c r="U22" i="40"/>
  <c r="U32" i="40" s="1"/>
  <c r="AE28" i="40"/>
  <c r="Z28" i="40"/>
  <c r="AA28" i="40"/>
  <c r="AB28" i="40"/>
  <c r="AC28" i="40"/>
  <c r="AC32" i="40" s="1"/>
  <c r="AD28" i="40"/>
  <c r="AD32" i="40" s="1"/>
  <c r="Y28" i="40"/>
  <c r="Y32" i="40" s="1"/>
  <c r="D23" i="61"/>
  <c r="R26" i="40"/>
  <c r="R27" i="40"/>
  <c r="R25" i="40"/>
  <c r="E4" i="61"/>
  <c r="E14" i="61" s="1"/>
  <c r="D21" i="61"/>
  <c r="D20" i="61"/>
  <c r="D24" i="61"/>
  <c r="D25" i="61"/>
  <c r="D26" i="61"/>
  <c r="K33" i="40"/>
  <c r="L22" i="40"/>
  <c r="F33" i="40"/>
  <c r="E33" i="40"/>
  <c r="G33" i="40"/>
  <c r="X23" i="40"/>
  <c r="S23" i="40"/>
  <c r="R24" i="40"/>
  <c r="M33" i="40"/>
  <c r="N33" i="40"/>
  <c r="O33" i="40"/>
  <c r="P33" i="40"/>
  <c r="E8" i="60"/>
  <c r="D9" i="60" s="1"/>
  <c r="Z22" i="40" l="1"/>
  <c r="L32" i="40"/>
  <c r="AA32" i="40"/>
  <c r="D30" i="61"/>
  <c r="Z32" i="40"/>
  <c r="X32" i="40"/>
  <c r="D22" i="40"/>
  <c r="D33" i="40"/>
  <c r="R28" i="40"/>
  <c r="D23" i="40"/>
  <c r="R22" i="40"/>
  <c r="R23" i="40"/>
  <c r="E12" i="60"/>
  <c r="E11" i="60"/>
  <c r="E10" i="60"/>
  <c r="D32" i="40" l="1"/>
  <c r="R32" i="40"/>
  <c r="AE22" i="40"/>
  <c r="AE23" i="40"/>
  <c r="D13" i="60"/>
  <c r="D31" i="60" s="1"/>
  <c r="AE32" i="40" l="1"/>
  <c r="E15" i="60"/>
  <c r="E14" i="60"/>
  <c r="D18" i="60" l="1"/>
  <c r="D22" i="60" s="1"/>
  <c r="D30" i="60" s="1"/>
  <c r="E17" i="60" l="1"/>
  <c r="E21" i="60"/>
  <c r="D32" i="60"/>
  <c r="E19" i="60"/>
  <c r="F7" i="57"/>
  <c r="D59" i="57" l="1"/>
  <c r="D34" i="57"/>
  <c r="D17" i="57"/>
  <c r="D16" i="57"/>
  <c r="D7" i="57"/>
  <c r="E58" i="57"/>
  <c r="E60" i="57" s="1"/>
  <c r="E62" i="57" s="1"/>
  <c r="P60" i="57"/>
  <c r="P62" i="57" s="1"/>
  <c r="O60" i="57"/>
  <c r="O62" i="57" s="1"/>
  <c r="N60" i="57"/>
  <c r="N62" i="57" s="1"/>
  <c r="M60" i="57"/>
  <c r="M62" i="57" s="1"/>
  <c r="L60" i="57"/>
  <c r="L62" i="57" s="1"/>
  <c r="K60" i="57"/>
  <c r="K62" i="57" s="1"/>
  <c r="J58" i="57"/>
  <c r="J60" i="57" s="1"/>
  <c r="J62" i="57" s="1"/>
  <c r="I58" i="57"/>
  <c r="I60" i="57" s="1"/>
  <c r="I62" i="57" s="1"/>
  <c r="H58" i="57"/>
  <c r="H60" i="57" s="1"/>
  <c r="H62" i="57" s="1"/>
  <c r="G58" i="57"/>
  <c r="G60" i="57" s="1"/>
  <c r="G62" i="57" s="1"/>
  <c r="F58" i="57"/>
  <c r="F60" i="57" s="1"/>
  <c r="F62" i="57" s="1"/>
  <c r="D56" i="57"/>
  <c r="D57" i="57" s="1"/>
  <c r="D61" i="57" s="1"/>
  <c r="P52" i="57"/>
  <c r="P54" i="57" s="1"/>
  <c r="O52" i="57"/>
  <c r="O54" i="57" s="1"/>
  <c r="N52" i="57"/>
  <c r="N54" i="57" s="1"/>
  <c r="M52" i="57"/>
  <c r="M54" i="57" s="1"/>
  <c r="L52" i="57"/>
  <c r="L54" i="57" s="1"/>
  <c r="K52" i="57"/>
  <c r="K54" i="57" s="1"/>
  <c r="J52" i="57"/>
  <c r="J54" i="57" s="1"/>
  <c r="I52" i="57"/>
  <c r="I54" i="57" s="1"/>
  <c r="H52" i="57"/>
  <c r="H54" i="57" s="1"/>
  <c r="G52" i="57"/>
  <c r="G54" i="57" s="1"/>
  <c r="F52" i="57"/>
  <c r="F54" i="57" s="1"/>
  <c r="E52" i="57"/>
  <c r="E54" i="57" s="1"/>
  <c r="P44" i="57"/>
  <c r="P46" i="57" s="1"/>
  <c r="O44" i="57"/>
  <c r="O46" i="57" s="1"/>
  <c r="N44" i="57"/>
  <c r="N46" i="57" s="1"/>
  <c r="M44" i="57"/>
  <c r="M46" i="57" s="1"/>
  <c r="L44" i="57"/>
  <c r="L46" i="57" s="1"/>
  <c r="K42" i="57"/>
  <c r="J42" i="57"/>
  <c r="J74" i="57" s="1"/>
  <c r="I42" i="57"/>
  <c r="H42" i="57"/>
  <c r="G42" i="57"/>
  <c r="F42" i="57"/>
  <c r="E42" i="57"/>
  <c r="D10" i="57"/>
  <c r="D35" i="57"/>
  <c r="P27" i="57"/>
  <c r="P29" i="57" s="1"/>
  <c r="O27" i="57"/>
  <c r="O29" i="57" s="1"/>
  <c r="N27" i="57"/>
  <c r="N29" i="57" s="1"/>
  <c r="M27" i="57"/>
  <c r="M29" i="57" s="1"/>
  <c r="L27" i="57"/>
  <c r="L29" i="57" s="1"/>
  <c r="K27" i="57"/>
  <c r="K29" i="57" s="1"/>
  <c r="J27" i="57"/>
  <c r="J29" i="57" s="1"/>
  <c r="I27" i="57"/>
  <c r="I29" i="57" s="1"/>
  <c r="H27" i="57"/>
  <c r="H29" i="57" s="1"/>
  <c r="G27" i="57"/>
  <c r="G29" i="57" s="1"/>
  <c r="E27" i="57"/>
  <c r="E29" i="57" s="1"/>
  <c r="P19" i="57"/>
  <c r="O19" i="57"/>
  <c r="N19" i="57"/>
  <c r="M19" i="57"/>
  <c r="L19" i="57"/>
  <c r="K19" i="57"/>
  <c r="J19" i="57"/>
  <c r="J21" i="57" s="1"/>
  <c r="H19" i="57"/>
  <c r="G19" i="57"/>
  <c r="F19" i="57"/>
  <c r="E19" i="57"/>
  <c r="D18" i="57"/>
  <c r="P9" i="57"/>
  <c r="O9" i="57"/>
  <c r="O11" i="57" s="1"/>
  <c r="N9" i="57"/>
  <c r="N11" i="57" s="1"/>
  <c r="M9" i="57"/>
  <c r="K9" i="57"/>
  <c r="J9" i="57"/>
  <c r="I9" i="57"/>
  <c r="H9" i="57"/>
  <c r="F9" i="57"/>
  <c r="E9" i="57"/>
  <c r="P36" i="57"/>
  <c r="P38" i="57" s="1"/>
  <c r="O36" i="57"/>
  <c r="O38" i="57" s="1"/>
  <c r="N36" i="57"/>
  <c r="N38" i="57" s="1"/>
  <c r="L36" i="57"/>
  <c r="L38" i="57" s="1"/>
  <c r="K36" i="57"/>
  <c r="K38" i="57" s="1"/>
  <c r="I36" i="57"/>
  <c r="I38" i="57" s="1"/>
  <c r="H36" i="57"/>
  <c r="H38" i="57" s="1"/>
  <c r="G36" i="57"/>
  <c r="G38" i="57" s="1"/>
  <c r="F36" i="57"/>
  <c r="F38" i="57" s="1"/>
  <c r="E36" i="57"/>
  <c r="E38" i="57" s="1"/>
  <c r="D26" i="57"/>
  <c r="D8" i="57"/>
  <c r="D40" i="57"/>
  <c r="D41" i="57" s="1"/>
  <c r="D4" i="57"/>
  <c r="E74" i="57" l="1"/>
  <c r="H44" i="57"/>
  <c r="H46" i="57" s="1"/>
  <c r="H74" i="57"/>
  <c r="K44" i="57"/>
  <c r="K46" i="57" s="1"/>
  <c r="K74" i="57"/>
  <c r="G44" i="57"/>
  <c r="G46" i="57" s="1"/>
  <c r="G74" i="57"/>
  <c r="I44" i="57"/>
  <c r="I46" i="57" s="1"/>
  <c r="I74" i="57"/>
  <c r="F44" i="57"/>
  <c r="F46" i="57" s="1"/>
  <c r="F74" i="57"/>
  <c r="D45" i="57"/>
  <c r="D73" i="57"/>
  <c r="D6" i="57"/>
  <c r="D72" i="57"/>
  <c r="D54" i="57"/>
  <c r="D60" i="57"/>
  <c r="D62" i="57" s="1"/>
  <c r="D52" i="57"/>
  <c r="J44" i="57"/>
  <c r="J46" i="57" s="1"/>
  <c r="D42" i="57"/>
  <c r="E44" i="57"/>
  <c r="E46" i="57" s="1"/>
  <c r="J36" i="57"/>
  <c r="J38" i="57" s="1"/>
  <c r="I19" i="57"/>
  <c r="D19" i="57" s="1"/>
  <c r="G9" i="57"/>
  <c r="G11" i="57" s="1"/>
  <c r="F27" i="57"/>
  <c r="M36" i="57"/>
  <c r="M38" i="57" s="1"/>
  <c r="L9" i="57"/>
  <c r="L11" i="57" s="1"/>
  <c r="M11" i="57"/>
  <c r="P11" i="57"/>
  <c r="E11" i="57"/>
  <c r="F11" i="57"/>
  <c r="H11" i="57"/>
  <c r="I11" i="57"/>
  <c r="J11" i="57"/>
  <c r="K11" i="57"/>
  <c r="N21" i="57"/>
  <c r="O21" i="57"/>
  <c r="P21" i="57"/>
  <c r="G21" i="57"/>
  <c r="H21" i="57"/>
  <c r="K21" i="57"/>
  <c r="M21" i="57"/>
  <c r="L21" i="57"/>
  <c r="F21" i="57"/>
  <c r="E21" i="57"/>
  <c r="D74" i="57" l="1"/>
  <c r="D46" i="57"/>
  <c r="I21" i="57"/>
  <c r="D21" i="57" s="1"/>
  <c r="D38" i="57"/>
  <c r="D9" i="57"/>
  <c r="D11" i="57"/>
  <c r="D27" i="57"/>
  <c r="D29" i="57" s="1"/>
  <c r="F29" i="57"/>
  <c r="D36" i="57"/>
  <c r="E31" i="44" l="1"/>
  <c r="F28" i="44"/>
  <c r="F24" i="44"/>
  <c r="F27" i="44"/>
  <c r="F26" i="44"/>
  <c r="F23" i="44"/>
  <c r="H23" i="44" s="1"/>
  <c r="F22" i="44"/>
  <c r="F21" i="44"/>
  <c r="F20" i="44"/>
  <c r="G20" i="44" s="1"/>
  <c r="F25" i="44"/>
  <c r="E30" i="44"/>
  <c r="I28" i="44"/>
  <c r="I23" i="44"/>
  <c r="I27" i="44"/>
  <c r="I26" i="44"/>
  <c r="I25" i="44"/>
  <c r="I24" i="44"/>
  <c r="I22" i="44"/>
  <c r="I21" i="44"/>
  <c r="I20" i="44"/>
  <c r="I19" i="44"/>
  <c r="H25" i="44"/>
  <c r="E28" i="44"/>
  <c r="E27" i="44"/>
  <c r="E25" i="44"/>
  <c r="E24" i="44"/>
  <c r="E23" i="44"/>
  <c r="E22" i="44"/>
  <c r="E21" i="44"/>
  <c r="E20" i="44"/>
  <c r="D19" i="44"/>
  <c r="F19" i="44" s="1"/>
  <c r="G19" i="44" s="1"/>
  <c r="H9" i="44"/>
  <c r="I9" i="44"/>
  <c r="J9" i="44"/>
  <c r="B12" i="44"/>
  <c r="J3" i="44"/>
  <c r="K3" i="44" s="1"/>
  <c r="E10" i="44"/>
  <c r="G10" i="44" s="1"/>
  <c r="F10" i="44"/>
  <c r="I5" i="44"/>
  <c r="I4" i="44"/>
  <c r="J4" i="44" s="1"/>
  <c r="I2" i="44"/>
  <c r="F9" i="44"/>
  <c r="F8" i="44"/>
  <c r="F7" i="44"/>
  <c r="F6" i="44"/>
  <c r="F5" i="44"/>
  <c r="F4" i="44"/>
  <c r="F3" i="44"/>
  <c r="E9" i="44"/>
  <c r="G9" i="44" s="1"/>
  <c r="E8" i="44"/>
  <c r="G8" i="44" s="1"/>
  <c r="H1" i="44"/>
  <c r="I1" i="44" s="1"/>
  <c r="I7" i="44"/>
  <c r="I3" i="44"/>
  <c r="F2" i="44"/>
  <c r="G7" i="44"/>
  <c r="E6" i="44"/>
  <c r="G6" i="44" s="1"/>
  <c r="E5" i="44"/>
  <c r="G5" i="44" s="1"/>
  <c r="E4" i="44"/>
  <c r="K4" i="44" s="1"/>
  <c r="E3" i="44"/>
  <c r="G3" i="44" s="1"/>
  <c r="E2" i="44"/>
  <c r="G2" i="44" s="1"/>
  <c r="E19" i="44" l="1"/>
  <c r="J19" i="44" s="1"/>
  <c r="G4" i="44"/>
  <c r="H11" i="44"/>
  <c r="H12" i="44" s="1"/>
  <c r="E29" i="44" l="1"/>
  <c r="G29" i="44" s="1"/>
  <c r="G30" i="44" s="1"/>
  <c r="S12" i="41" l="1"/>
  <c r="C22" i="41" l="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Q19" i="41"/>
  <c r="Q22" i="41" s="1"/>
  <c r="P19" i="41"/>
  <c r="O19" i="41"/>
  <c r="N19" i="41"/>
  <c r="N22" i="41" s="1"/>
  <c r="M19" i="41"/>
  <c r="M22" i="41" s="1"/>
  <c r="L19" i="41"/>
  <c r="K19" i="41"/>
  <c r="J19" i="41"/>
  <c r="I19" i="41"/>
  <c r="H19" i="41"/>
  <c r="G19" i="41"/>
  <c r="F19" i="41"/>
  <c r="F22" i="41" s="1"/>
  <c r="E19" i="41"/>
  <c r="E22" i="41" s="1"/>
  <c r="P7" i="41"/>
  <c r="P8" i="41" s="1"/>
  <c r="P9" i="41" s="1"/>
  <c r="O7" i="41"/>
  <c r="O8" i="41" s="1"/>
  <c r="O9" i="41" s="1"/>
  <c r="N7" i="41"/>
  <c r="N8" i="41" s="1"/>
  <c r="N9" i="41" s="1"/>
  <c r="M7" i="41"/>
  <c r="M8" i="41" s="1"/>
  <c r="M9" i="41" s="1"/>
  <c r="L7" i="41"/>
  <c r="L8" i="41" s="1"/>
  <c r="L9" i="41" s="1"/>
  <c r="K7" i="41"/>
  <c r="K8" i="41" s="1"/>
  <c r="K9" i="41" s="1"/>
  <c r="J7" i="41"/>
  <c r="J8" i="41" s="1"/>
  <c r="J9" i="41" s="1"/>
  <c r="I7" i="41"/>
  <c r="I8" i="41" s="1"/>
  <c r="I9" i="41" s="1"/>
  <c r="H7" i="41"/>
  <c r="H8" i="41" s="1"/>
  <c r="H9" i="41" s="1"/>
  <c r="G7" i="41"/>
  <c r="G8" i="41" s="1"/>
  <c r="G9" i="41" s="1"/>
  <c r="F7" i="41"/>
  <c r="F8" i="41" s="1"/>
  <c r="F9" i="41" s="1"/>
  <c r="E7" i="41"/>
  <c r="E8" i="41" s="1"/>
  <c r="E9" i="41" s="1"/>
  <c r="D7" i="41"/>
  <c r="C7" i="41"/>
  <c r="R6" i="41"/>
  <c r="S6" i="41" s="1"/>
  <c r="R5" i="41"/>
  <c r="S5" i="41" s="1"/>
  <c r="R4" i="41"/>
  <c r="S4" i="41" s="1"/>
  <c r="O22" i="41" l="1"/>
  <c r="P22" i="41"/>
  <c r="G22" i="41"/>
  <c r="H22" i="41"/>
  <c r="K22" i="41"/>
  <c r="L22" i="41"/>
  <c r="D20" i="41"/>
  <c r="D19" i="41"/>
  <c r="D21" i="41"/>
  <c r="J22" i="41"/>
  <c r="I22" i="41"/>
  <c r="D22" i="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Radwan</author>
  </authors>
  <commentList>
    <comment ref="B7" authorId="0" shapeId="0" xr:uid="{A3F85DAC-02BA-41CA-ACC6-DBAFF2867053}">
      <text>
        <r>
          <rPr>
            <b/>
            <sz val="9"/>
            <color indexed="81"/>
            <rFont val="Tahoma"/>
            <family val="2"/>
          </rPr>
          <t>Radwan:</t>
        </r>
        <r>
          <rPr>
            <sz val="9"/>
            <color indexed="81"/>
            <rFont val="Tahoma"/>
            <family val="2"/>
          </rPr>
          <t xml:space="preserve">
المبيعات الفعليه 39 والمتوقع 50 حبة</t>
        </r>
      </text>
    </comment>
    <comment ref="B8" authorId="0" shapeId="0" xr:uid="{049E1334-7A3D-4DD6-B9C9-B79EABABD184}">
      <text>
        <r>
          <rPr>
            <b/>
            <sz val="9"/>
            <color indexed="81"/>
            <rFont val="Tahoma"/>
            <family val="2"/>
          </rPr>
          <t>Radwan:</t>
        </r>
        <r>
          <rPr>
            <sz val="9"/>
            <color indexed="81"/>
            <rFont val="Tahoma"/>
            <family val="2"/>
          </rPr>
          <t xml:space="preserve">
الكلكشن الجديد نزل 15 Dec</t>
        </r>
      </text>
    </comment>
    <comment ref="B9" authorId="0" shapeId="0" xr:uid="{B8621E46-DE02-47DE-920E-2E4828335AB8}">
      <text>
        <r>
          <rPr>
            <b/>
            <sz val="9"/>
            <color indexed="81"/>
            <rFont val="Tahoma"/>
            <family val="2"/>
          </rPr>
          <t>Radwan:</t>
        </r>
        <r>
          <rPr>
            <sz val="9"/>
            <color indexed="81"/>
            <rFont val="Tahoma"/>
            <family val="2"/>
          </rPr>
          <t xml:space="preserve">
عقد توزيع عند هيا تنيه خلال اسبوعين</t>
        </r>
      </text>
    </comment>
  </commentList>
</comments>
</file>

<file path=xl/sharedStrings.xml><?xml version="1.0" encoding="utf-8"?>
<sst xmlns="http://schemas.openxmlformats.org/spreadsheetml/2006/main" count="549" uniqueCount="163">
  <si>
    <t>Grand Total</t>
  </si>
  <si>
    <t>THoO</t>
  </si>
  <si>
    <t>FACES</t>
  </si>
  <si>
    <t>BEAUTY</t>
  </si>
  <si>
    <t>LAROMIOUS</t>
  </si>
  <si>
    <t>Retiler</t>
  </si>
  <si>
    <t>RUBAIYAT</t>
  </si>
  <si>
    <t>Brand Name</t>
  </si>
  <si>
    <t>New Notes</t>
  </si>
  <si>
    <t>LOR</t>
  </si>
  <si>
    <t>GOLD APPLE</t>
  </si>
  <si>
    <t>JUSBOX</t>
  </si>
  <si>
    <t>JUSBOX Total</t>
  </si>
  <si>
    <t>New Notes Total</t>
  </si>
  <si>
    <t>THoO Total</t>
  </si>
  <si>
    <t>Values</t>
  </si>
  <si>
    <t xml:space="preserve"> TTL</t>
  </si>
  <si>
    <t xml:space="preserve"> Jan-25</t>
  </si>
  <si>
    <t xml:space="preserve"> Feb-25</t>
  </si>
  <si>
    <t xml:space="preserve"> Mar-25</t>
  </si>
  <si>
    <t xml:space="preserve"> Apr-25</t>
  </si>
  <si>
    <t xml:space="preserve"> May-25</t>
  </si>
  <si>
    <t xml:space="preserve"> Jun-25</t>
  </si>
  <si>
    <t xml:space="preserve"> Jul-25</t>
  </si>
  <si>
    <t xml:space="preserve"> Aug-25</t>
  </si>
  <si>
    <t xml:space="preserve"> Sep-25</t>
  </si>
  <si>
    <t xml:space="preserve"> Oct-25</t>
  </si>
  <si>
    <t xml:space="preserve"> Nov-25</t>
  </si>
  <si>
    <t xml:space="preserve"> Dec-25</t>
  </si>
  <si>
    <t>Sell Out</t>
  </si>
  <si>
    <t>Sell In</t>
  </si>
  <si>
    <t>A&amp;P</t>
  </si>
  <si>
    <t>THE VISITOR</t>
  </si>
  <si>
    <t>Al Musbah Profit</t>
  </si>
  <si>
    <t>THOO</t>
  </si>
  <si>
    <t>LAURE</t>
  </si>
  <si>
    <t>NOD</t>
  </si>
  <si>
    <t xml:space="preserve"> Jan-26</t>
  </si>
  <si>
    <t xml:space="preserve"> Feb-26</t>
  </si>
  <si>
    <t xml:space="preserve"> Mar-26</t>
  </si>
  <si>
    <t xml:space="preserve"> Apr-26</t>
  </si>
  <si>
    <t xml:space="preserve"> May-26</t>
  </si>
  <si>
    <t xml:space="preserve"> Jun-26</t>
  </si>
  <si>
    <t xml:space="preserve"> Jul-26</t>
  </si>
  <si>
    <t xml:space="preserve"> Aug-26</t>
  </si>
  <si>
    <t xml:space="preserve"> Sep-26</t>
  </si>
  <si>
    <t xml:space="preserve"> Oct-26</t>
  </si>
  <si>
    <t xml:space="preserve"> Nov-26</t>
  </si>
  <si>
    <t xml:space="preserve"> Dec-26</t>
  </si>
  <si>
    <t>PUR with Stock Cov</t>
  </si>
  <si>
    <t>Comm PUR 2026</t>
  </si>
  <si>
    <t>TTL QTY</t>
  </si>
  <si>
    <t>PUR</t>
  </si>
  <si>
    <t>TARGET</t>
  </si>
  <si>
    <t>G.S</t>
  </si>
  <si>
    <t>ELITE</t>
  </si>
  <si>
    <t>GOLDN SCENT</t>
  </si>
  <si>
    <t>SENSI</t>
  </si>
  <si>
    <t>SENSI MAKAH</t>
  </si>
  <si>
    <t>O100</t>
  </si>
  <si>
    <t>Sum of TTL</t>
  </si>
  <si>
    <t>Sum of Jan-25</t>
  </si>
  <si>
    <t>Sum of Feb-25</t>
  </si>
  <si>
    <t>Sum of Mar-25</t>
  </si>
  <si>
    <t>Sum of Apr-25</t>
  </si>
  <si>
    <t>Sum of May-25</t>
  </si>
  <si>
    <t>Sum of Jun-25</t>
  </si>
  <si>
    <t>Sum of Jul-25</t>
  </si>
  <si>
    <t>Sum of Aug-25</t>
  </si>
  <si>
    <t>Sum of Sep-25</t>
  </si>
  <si>
    <t>Sum of Oct-25</t>
  </si>
  <si>
    <t>Sum of Nov-25</t>
  </si>
  <si>
    <t>Sum of Dec-25</t>
  </si>
  <si>
    <t>Total</t>
  </si>
  <si>
    <t>(All)</t>
  </si>
  <si>
    <t>Sell out</t>
  </si>
  <si>
    <t>Incintive</t>
  </si>
  <si>
    <t>Saving</t>
  </si>
  <si>
    <t>Ramdan</t>
  </si>
  <si>
    <t>Spend</t>
  </si>
  <si>
    <t>Building Block</t>
  </si>
  <si>
    <t>Event Sampling</t>
  </si>
  <si>
    <t>Period</t>
  </si>
  <si>
    <t>End Of Gondola</t>
  </si>
  <si>
    <t>Influencer  5</t>
  </si>
  <si>
    <t>14 VALENTINE’S DAY</t>
  </si>
  <si>
    <t>Master Class Jeddah</t>
  </si>
  <si>
    <t xml:space="preserve">Event </t>
  </si>
  <si>
    <t xml:space="preserve"> 21 Father's Day &amp; WC</t>
  </si>
  <si>
    <t>Master Class RIYADH</t>
  </si>
  <si>
    <t>New Counter</t>
  </si>
  <si>
    <t>BA'S</t>
  </si>
  <si>
    <t>Event</t>
  </si>
  <si>
    <t>GLOW HOUSE</t>
  </si>
  <si>
    <t>FOUR SEASONS</t>
  </si>
  <si>
    <t>PAPILLON</t>
  </si>
  <si>
    <t>BASIC</t>
  </si>
  <si>
    <t>A.</t>
  </si>
  <si>
    <t>Suggested Retail price</t>
  </si>
  <si>
    <t>V.A.T. (% of B)</t>
  </si>
  <si>
    <t>Duty Free saving</t>
  </si>
  <si>
    <t>-</t>
  </si>
  <si>
    <t>B.</t>
  </si>
  <si>
    <t>Retail price ex. V.A.T.</t>
  </si>
  <si>
    <t>Retailer margin (% of B)</t>
  </si>
  <si>
    <t>C.</t>
  </si>
  <si>
    <t>Wholesale price</t>
  </si>
  <si>
    <t>Discount to retailer (% of C)</t>
  </si>
  <si>
    <t>Year End Bonus</t>
  </si>
  <si>
    <t xml:space="preserve">Returns </t>
  </si>
  <si>
    <t>D.</t>
  </si>
  <si>
    <t>Net Wholesale price</t>
  </si>
  <si>
    <t>Taxes on Alcohol (% of E)</t>
  </si>
  <si>
    <t>E.</t>
  </si>
  <si>
    <t>Landed cost</t>
  </si>
  <si>
    <t>Duties (% of F)</t>
  </si>
  <si>
    <t>F.</t>
  </si>
  <si>
    <t>Invoiced Price</t>
  </si>
  <si>
    <t>Total marketing investment (% of D)</t>
  </si>
  <si>
    <t>Coefficient (A/F) Retail/Invoiced</t>
  </si>
  <si>
    <t>Coefficient  Retail/ Net WHS</t>
  </si>
  <si>
    <t xml:space="preserve"> </t>
  </si>
  <si>
    <t>Coefficient (D/F) net WHS/Invoiced</t>
  </si>
  <si>
    <t>ORDER FORM 2026</t>
  </si>
  <si>
    <t>Perfumes</t>
  </si>
  <si>
    <t>RETAIL PRICE EX VAT</t>
  </si>
  <si>
    <t>Description</t>
  </si>
  <si>
    <t xml:space="preserve">
Hair perfumes</t>
  </si>
  <si>
    <t xml:space="preserve">LUNÉRA HAIR MUST </t>
  </si>
  <si>
    <t xml:space="preserve">PEACH MOSS HAIR MUST </t>
  </si>
  <si>
    <t xml:space="preserve">LUMISK HAIR MUST </t>
  </si>
  <si>
    <t>ROYAL MUSK EXTRAIT DE PARFUM  50ML</t>
  </si>
  <si>
    <t>ROYAL OUD PARFUME 50ML</t>
  </si>
  <si>
    <t>ROYAL JASMINE EXTRAIT DE PARFUM  50ML</t>
  </si>
  <si>
    <t>LADY LULU EXTRAIT DE PARFUM  50ML</t>
  </si>
  <si>
    <t>EVORA PARFUME 50ML</t>
  </si>
  <si>
    <t>Musk Ellolo</t>
  </si>
  <si>
    <t>LAROMUAS</t>
  </si>
  <si>
    <t>AVENUS AL MUSBAH</t>
  </si>
  <si>
    <t>Haya Profit</t>
  </si>
  <si>
    <t>COGS</t>
  </si>
  <si>
    <t>Proudaction</t>
  </si>
  <si>
    <t>RSP With VAT</t>
  </si>
  <si>
    <t>Order</t>
  </si>
  <si>
    <t>Mini QTY</t>
  </si>
  <si>
    <t>MAX QTY</t>
  </si>
  <si>
    <t>Barcode</t>
  </si>
  <si>
    <t>QTY</t>
  </si>
  <si>
    <t>Hajj</t>
  </si>
  <si>
    <t>Gold Apple</t>
  </si>
  <si>
    <t>Ladore</t>
  </si>
  <si>
    <t>LADORE</t>
  </si>
  <si>
    <t>TTL</t>
  </si>
  <si>
    <t>TTL Sell Out</t>
  </si>
  <si>
    <t>TTL Sell In</t>
  </si>
  <si>
    <t>Musk Ellolo Online</t>
  </si>
  <si>
    <r>
      <t xml:space="preserve">Advertising budget (% of </t>
    </r>
    <r>
      <rPr>
        <sz val="8"/>
        <color indexed="12"/>
        <rFont val="Calibri Light"/>
        <family val="1"/>
        <scheme val="major"/>
      </rPr>
      <t>D</t>
    </r>
    <r>
      <rPr>
        <sz val="8"/>
        <rFont val="Calibri Light"/>
        <family val="1"/>
        <scheme val="major"/>
      </rPr>
      <t>)</t>
    </r>
  </si>
  <si>
    <r>
      <t xml:space="preserve">Muskellolo Margin (% of </t>
    </r>
    <r>
      <rPr>
        <sz val="8"/>
        <color indexed="12"/>
        <rFont val="Calibri Light"/>
        <family val="1"/>
        <scheme val="major"/>
      </rPr>
      <t>D</t>
    </r>
    <r>
      <rPr>
        <sz val="8"/>
        <rFont val="Calibri Light"/>
        <family val="1"/>
        <scheme val="major"/>
      </rPr>
      <t>)</t>
    </r>
  </si>
  <si>
    <r>
      <t xml:space="preserve">Freight (% of </t>
    </r>
    <r>
      <rPr>
        <sz val="8"/>
        <color indexed="45"/>
        <rFont val="Calibri Light"/>
        <family val="1"/>
        <scheme val="major"/>
      </rPr>
      <t>F</t>
    </r>
    <r>
      <rPr>
        <sz val="8"/>
        <rFont val="Calibri Light"/>
        <family val="1"/>
        <scheme val="major"/>
      </rPr>
      <t>)</t>
    </r>
  </si>
  <si>
    <r>
      <t xml:space="preserve">Free Posm Allocation tester (% of </t>
    </r>
    <r>
      <rPr>
        <sz val="8"/>
        <color indexed="12"/>
        <rFont val="Calibri Light"/>
        <family val="1"/>
        <scheme val="major"/>
      </rPr>
      <t>D</t>
    </r>
    <r>
      <rPr>
        <sz val="8"/>
        <rFont val="Calibri Light"/>
        <family val="1"/>
        <scheme val="major"/>
      </rPr>
      <t>)</t>
    </r>
  </si>
  <si>
    <r>
      <t xml:space="preserve">Supplier over-investment (% of </t>
    </r>
    <r>
      <rPr>
        <sz val="8"/>
        <color indexed="12"/>
        <rFont val="Calibri Light"/>
        <family val="1"/>
        <scheme val="major"/>
      </rPr>
      <t>D</t>
    </r>
    <r>
      <rPr>
        <sz val="8"/>
        <rFont val="Calibri Light"/>
        <family val="1"/>
        <scheme val="major"/>
      </rPr>
      <t>)</t>
    </r>
  </si>
  <si>
    <r>
      <t xml:space="preserve">Distributor over-investment (% of </t>
    </r>
    <r>
      <rPr>
        <sz val="8"/>
        <color indexed="12"/>
        <rFont val="Calibri Light"/>
        <family val="1"/>
        <scheme val="major"/>
      </rPr>
      <t>D</t>
    </r>
    <r>
      <rPr>
        <sz val="8"/>
        <rFont val="Calibri Light"/>
        <family val="1"/>
        <scheme val="major"/>
      </rPr>
      <t>)</t>
    </r>
  </si>
  <si>
    <t>SOLENN EXTRAIT DE PARFUM 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</si>
</sst>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0.0%"/>
    <numFmt numFmtId="167" formatCode="[$SAR]\ #,##0.00"/>
    <numFmt numFmtId="168" formatCode="0.000%"/>
    <numFmt numFmtId="169" formatCode="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8"/>
      <name val="Arial"/>
      <family val="2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 Light"/>
      <family val="1"/>
      <scheme val="major"/>
    </font>
    <font>
      <b/>
      <sz val="8"/>
      <color indexed="9"/>
      <name val="Calibri Light"/>
      <family val="1"/>
      <scheme val="major"/>
    </font>
    <font>
      <sz val="10"/>
      <color indexed="9"/>
      <name val="Calibri Light"/>
      <family val="1"/>
      <scheme val="major"/>
    </font>
    <font>
      <sz val="8"/>
      <name val="Calibri Light"/>
      <family val="1"/>
      <scheme val="major"/>
    </font>
    <font>
      <sz val="8"/>
      <color indexed="12"/>
      <name val="Calibri Light"/>
      <family val="1"/>
      <scheme val="major"/>
    </font>
    <font>
      <sz val="8"/>
      <color indexed="45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1"/>
      <color theme="0"/>
      <name val="Calibri Light"/>
      <family val="1"/>
      <scheme val="major"/>
    </font>
    <font>
      <b/>
      <sz val="10"/>
      <color theme="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0"/>
      <color indexed="8"/>
      <name val="Calibri Light"/>
      <family val="1"/>
      <scheme val="maj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00">
    <xf numFmtId="0" fontId="0" fillId="0" borderId="0" xfId="0"/>
    <xf numFmtId="3" fontId="0" fillId="0" borderId="0" xfId="0" applyNumberFormat="1"/>
    <xf numFmtId="164" fontId="0" fillId="0" borderId="0" xfId="1" applyFont="1"/>
    <xf numFmtId="0" fontId="5" fillId="0" borderId="0" xfId="0" applyFont="1"/>
    <xf numFmtId="0" fontId="0" fillId="0" borderId="0" xfId="0" pivotButton="1"/>
    <xf numFmtId="0" fontId="0" fillId="0" borderId="1" xfId="0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3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64" fontId="6" fillId="0" borderId="0" xfId="1" applyFont="1"/>
    <xf numFmtId="43" fontId="0" fillId="0" borderId="0" xfId="0" applyNumberFormat="1"/>
    <xf numFmtId="9" fontId="0" fillId="0" borderId="0" xfId="7" applyFont="1"/>
    <xf numFmtId="0" fontId="0" fillId="0" borderId="0" xfId="0" applyNumberFormat="1"/>
    <xf numFmtId="3" fontId="9" fillId="0" borderId="1" xfId="0" applyNumberFormat="1" applyFont="1" applyBorder="1" applyAlignment="1">
      <alignment horizontal="center"/>
    </xf>
    <xf numFmtId="0" fontId="8" fillId="5" borderId="0" xfId="0" applyFont="1" applyFill="1" applyBorder="1" applyAlignment="1">
      <alignment horizontal="center" vertical="center"/>
    </xf>
    <xf numFmtId="0" fontId="8" fillId="5" borderId="0" xfId="0" applyFont="1" applyFill="1" applyBorder="1"/>
    <xf numFmtId="3" fontId="8" fillId="5" borderId="0" xfId="0" applyNumberFormat="1" applyFont="1" applyFill="1" applyBorder="1" applyAlignment="1">
      <alignment horizontal="center"/>
    </xf>
    <xf numFmtId="0" fontId="7" fillId="5" borderId="0" xfId="0" applyFont="1" applyFill="1" applyBorder="1"/>
    <xf numFmtId="3" fontId="0" fillId="0" borderId="12" xfId="0" applyNumberFormat="1" applyBorder="1" applyAlignment="1">
      <alignment horizontal="center"/>
    </xf>
    <xf numFmtId="0" fontId="6" fillId="0" borderId="10" xfId="0" applyFont="1" applyBorder="1"/>
    <xf numFmtId="0" fontId="10" fillId="0" borderId="11" xfId="0" applyFont="1" applyBorder="1" applyAlignment="1">
      <alignment horizontal="center"/>
    </xf>
    <xf numFmtId="0" fontId="0" fillId="6" borderId="0" xfId="0" applyFill="1"/>
    <xf numFmtId="0" fontId="12" fillId="5" borderId="0" xfId="0" applyFont="1" applyFill="1"/>
    <xf numFmtId="3" fontId="11" fillId="6" borderId="0" xfId="0" applyNumberFormat="1" applyFont="1" applyFill="1"/>
    <xf numFmtId="0" fontId="0" fillId="5" borderId="0" xfId="0" applyFill="1"/>
    <xf numFmtId="2" fontId="0" fillId="0" borderId="0" xfId="0" applyNumberFormat="1"/>
    <xf numFmtId="166" fontId="0" fillId="0" borderId="0" xfId="7" applyNumberFormat="1" applyFont="1"/>
    <xf numFmtId="0" fontId="5" fillId="4" borderId="4" xfId="0" applyFont="1" applyFill="1" applyBorder="1" applyAlignment="1">
      <alignment vertical="center"/>
    </xf>
    <xf numFmtId="0" fontId="14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14" fillId="4" borderId="0" xfId="0" applyFont="1" applyFill="1" applyAlignment="1">
      <alignment horizontal="center" vertical="center"/>
    </xf>
    <xf numFmtId="169" fontId="0" fillId="0" borderId="0" xfId="0" applyNumberFormat="1"/>
    <xf numFmtId="3" fontId="14" fillId="4" borderId="0" xfId="0" applyNumberFormat="1" applyFont="1" applyFill="1" applyAlignment="1">
      <alignment horizontal="center" vertical="center"/>
    </xf>
    <xf numFmtId="2" fontId="18" fillId="8" borderId="34" xfId="0" applyNumberFormat="1" applyFont="1" applyFill="1" applyBorder="1" applyAlignment="1">
      <alignment horizontal="center" vertical="center"/>
    </xf>
    <xf numFmtId="2" fontId="18" fillId="8" borderId="35" xfId="0" applyNumberFormat="1" applyFont="1" applyFill="1" applyBorder="1" applyAlignment="1">
      <alignment vertical="center"/>
    </xf>
    <xf numFmtId="2" fontId="18" fillId="8" borderId="36" xfId="5" applyNumberFormat="1" applyFont="1" applyFill="1" applyBorder="1" applyAlignment="1" applyProtection="1">
      <alignment horizontal="centerContinuous" vertical="center"/>
    </xf>
    <xf numFmtId="2" fontId="18" fillId="8" borderId="37" xfId="0" applyNumberFormat="1" applyFont="1" applyFill="1" applyBorder="1" applyAlignment="1">
      <alignment horizontal="centerContinuous"/>
    </xf>
    <xf numFmtId="2" fontId="20" fillId="0" borderId="38" xfId="0" applyNumberFormat="1" applyFont="1" applyBorder="1" applyAlignment="1">
      <alignment horizontal="center" vertical="center"/>
    </xf>
    <xf numFmtId="2" fontId="20" fillId="0" borderId="39" xfId="0" applyNumberFormat="1" applyFont="1" applyBorder="1" applyAlignment="1">
      <alignment horizontal="right" vertical="center"/>
    </xf>
    <xf numFmtId="166" fontId="20" fillId="7" borderId="10" xfId="6" applyNumberFormat="1" applyFont="1" applyFill="1" applyBorder="1" applyAlignment="1" applyProtection="1">
      <alignment horizontal="center" vertical="center"/>
      <protection locked="0"/>
    </xf>
    <xf numFmtId="2" fontId="20" fillId="0" borderId="40" xfId="5" applyNumberFormat="1" applyFont="1" applyFill="1" applyBorder="1" applyAlignment="1" applyProtection="1">
      <alignment horizontal="center" vertical="center"/>
    </xf>
    <xf numFmtId="2" fontId="20" fillId="0" borderId="36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right" vertical="center"/>
    </xf>
    <xf numFmtId="2" fontId="20" fillId="0" borderId="37" xfId="5" applyNumberFormat="1" applyFont="1" applyFill="1" applyBorder="1" applyAlignment="1" applyProtection="1">
      <alignment horizontal="center" vertical="center"/>
    </xf>
    <xf numFmtId="2" fontId="18" fillId="8" borderId="41" xfId="0" applyNumberFormat="1" applyFont="1" applyFill="1" applyBorder="1" applyAlignment="1">
      <alignment horizontal="center" vertical="center"/>
    </xf>
    <xf numFmtId="2" fontId="18" fillId="8" borderId="16" xfId="0" applyNumberFormat="1" applyFont="1" applyFill="1" applyBorder="1" applyAlignment="1">
      <alignment vertical="center"/>
    </xf>
    <xf numFmtId="43" fontId="18" fillId="8" borderId="41" xfId="9" applyFont="1" applyFill="1" applyBorder="1" applyAlignment="1" applyProtection="1">
      <alignment horizontal="centerContinuous" vertical="center"/>
    </xf>
    <xf numFmtId="2" fontId="17" fillId="8" borderId="42" xfId="0" applyNumberFormat="1" applyFont="1" applyFill="1" applyBorder="1" applyAlignment="1">
      <alignment horizontal="centerContinuous"/>
    </xf>
    <xf numFmtId="2" fontId="20" fillId="0" borderId="41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right" vertical="center"/>
    </xf>
    <xf numFmtId="2" fontId="20" fillId="0" borderId="42" xfId="5" applyNumberFormat="1" applyFont="1" applyFill="1" applyBorder="1" applyAlignment="1" applyProtection="1">
      <alignment horizontal="center" vertical="center"/>
    </xf>
    <xf numFmtId="2" fontId="18" fillId="8" borderId="41" xfId="5" applyNumberFormat="1" applyFont="1" applyFill="1" applyBorder="1" applyAlignment="1" applyProtection="1">
      <alignment horizontal="centerContinuous" vertical="center"/>
    </xf>
    <xf numFmtId="2" fontId="18" fillId="8" borderId="42" xfId="0" applyNumberFormat="1" applyFont="1" applyFill="1" applyBorder="1" applyAlignment="1">
      <alignment horizontal="centerContinuous"/>
    </xf>
    <xf numFmtId="2" fontId="20" fillId="0" borderId="27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right" vertical="center"/>
    </xf>
    <xf numFmtId="2" fontId="20" fillId="0" borderId="43" xfId="5" applyNumberFormat="1" applyFont="1" applyFill="1" applyBorder="1" applyAlignment="1" applyProtection="1">
      <alignment horizontal="center" vertical="center"/>
    </xf>
    <xf numFmtId="166" fontId="20" fillId="0" borderId="27" xfId="6" applyNumberFormat="1" applyFont="1" applyFill="1" applyBorder="1" applyAlignment="1" applyProtection="1">
      <alignment horizontal="center" vertical="center"/>
    </xf>
    <xf numFmtId="2" fontId="20" fillId="0" borderId="27" xfId="0" applyNumberFormat="1" applyFont="1" applyBorder="1" applyAlignment="1">
      <alignment horizontal="centerContinuous" vertical="center"/>
    </xf>
    <xf numFmtId="2" fontId="20" fillId="0" borderId="0" xfId="0" applyNumberFormat="1" applyFont="1" applyAlignment="1">
      <alignment horizontal="centerContinuous" vertical="center"/>
    </xf>
    <xf numFmtId="2" fontId="20" fillId="6" borderId="27" xfId="0" applyNumberFormat="1" applyFont="1" applyFill="1" applyBorder="1" applyAlignment="1">
      <alignment horizontal="center" vertical="center"/>
    </xf>
    <xf numFmtId="2" fontId="20" fillId="6" borderId="0" xfId="0" applyNumberFormat="1" applyFont="1" applyFill="1" applyAlignment="1">
      <alignment horizontal="right" vertical="center"/>
    </xf>
    <xf numFmtId="166" fontId="20" fillId="6" borderId="10" xfId="6" applyNumberFormat="1" applyFont="1" applyFill="1" applyBorder="1" applyAlignment="1" applyProtection="1">
      <alignment horizontal="center" vertical="center"/>
      <protection locked="0"/>
    </xf>
    <xf numFmtId="2" fontId="20" fillId="6" borderId="43" xfId="5" applyNumberFormat="1" applyFont="1" applyFill="1" applyBorder="1" applyAlignment="1" applyProtection="1">
      <alignment horizontal="center" vertical="center"/>
    </xf>
    <xf numFmtId="2" fontId="20" fillId="0" borderId="39" xfId="0" applyNumberFormat="1" applyFont="1" applyBorder="1" applyAlignment="1">
      <alignment vertical="center"/>
    </xf>
    <xf numFmtId="2" fontId="20" fillId="0" borderId="0" xfId="0" applyNumberFormat="1" applyFont="1" applyAlignment="1">
      <alignment horizontal="left" vertical="center"/>
    </xf>
    <xf numFmtId="2" fontId="20" fillId="0" borderId="15" xfId="0" applyNumberFormat="1" applyFont="1" applyBorder="1" applyAlignment="1">
      <alignment vertical="center"/>
    </xf>
    <xf numFmtId="2" fontId="17" fillId="0" borderId="41" xfId="0" applyNumberFormat="1" applyFont="1" applyBorder="1" applyAlignment="1">
      <alignment horizontal="left" vertical="center"/>
    </xf>
    <xf numFmtId="2" fontId="17" fillId="0" borderId="16" xfId="0" applyNumberFormat="1" applyFont="1" applyBorder="1" applyAlignment="1">
      <alignment vertical="center"/>
    </xf>
    <xf numFmtId="166" fontId="17" fillId="0" borderId="41" xfId="0" applyNumberFormat="1" applyFont="1" applyBorder="1" applyAlignment="1">
      <alignment horizontal="center" vertical="center"/>
    </xf>
    <xf numFmtId="2" fontId="17" fillId="0" borderId="42" xfId="5" applyNumberFormat="1" applyFont="1" applyFill="1" applyBorder="1" applyAlignment="1" applyProtection="1">
      <alignment horizontal="center" vertical="center"/>
    </xf>
    <xf numFmtId="2" fontId="17" fillId="0" borderId="38" xfId="0" applyNumberFormat="1" applyFont="1" applyBorder="1" applyAlignment="1">
      <alignment horizontal="left" vertical="center"/>
    </xf>
    <xf numFmtId="2" fontId="17" fillId="0" borderId="39" xfId="0" applyNumberFormat="1" applyFont="1" applyBorder="1" applyAlignment="1">
      <alignment vertical="center"/>
    </xf>
    <xf numFmtId="2" fontId="17" fillId="0" borderId="38" xfId="0" applyNumberFormat="1" applyFont="1" applyBorder="1" applyAlignment="1">
      <alignment horizontal="centerContinuous" vertical="center"/>
    </xf>
    <xf numFmtId="2" fontId="17" fillId="0" borderId="40" xfId="5" applyNumberFormat="1" applyFont="1" applyFill="1" applyBorder="1" applyAlignment="1" applyProtection="1">
      <alignment horizontal="centerContinuous" vertical="center"/>
    </xf>
    <xf numFmtId="2" fontId="17" fillId="6" borderId="27" xfId="0" applyNumberFormat="1" applyFont="1" applyFill="1" applyBorder="1" applyAlignment="1">
      <alignment horizontal="left" vertical="center"/>
    </xf>
    <xf numFmtId="2" fontId="17" fillId="6" borderId="0" xfId="0" applyNumberFormat="1" applyFont="1" applyFill="1" applyAlignment="1">
      <alignment vertical="center"/>
    </xf>
    <xf numFmtId="2" fontId="17" fillId="6" borderId="28" xfId="0" applyNumberFormat="1" applyFont="1" applyFill="1" applyBorder="1" applyAlignment="1">
      <alignment horizontal="left" vertical="center"/>
    </xf>
    <xf numFmtId="2" fontId="17" fillId="6" borderId="31" xfId="0" applyNumberFormat="1" applyFont="1" applyFill="1" applyBorder="1" applyAlignment="1">
      <alignment vertical="center"/>
    </xf>
    <xf numFmtId="2" fontId="17" fillId="6" borderId="28" xfId="0" applyNumberFormat="1" applyFont="1" applyFill="1" applyBorder="1" applyAlignment="1">
      <alignment horizontal="centerContinuous" vertical="center"/>
    </xf>
    <xf numFmtId="2" fontId="17" fillId="6" borderId="44" xfId="5" applyNumberFormat="1" applyFont="1" applyFill="1" applyBorder="1" applyAlignment="1" applyProtection="1">
      <alignment horizontal="centerContinuous" vertical="center"/>
    </xf>
    <xf numFmtId="3" fontId="6" fillId="9" borderId="1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1" xfId="0" applyFont="1" applyBorder="1"/>
    <xf numFmtId="0" fontId="24" fillId="0" borderId="1" xfId="0" applyFont="1" applyFill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23" fillId="0" borderId="0" xfId="0" applyNumberFormat="1" applyFont="1"/>
    <xf numFmtId="0" fontId="23" fillId="0" borderId="3" xfId="0" applyFont="1" applyBorder="1"/>
    <xf numFmtId="0" fontId="24" fillId="0" borderId="3" xfId="0" applyFont="1" applyFill="1" applyBorder="1" applyAlignment="1">
      <alignment horizontal="center"/>
    </xf>
    <xf numFmtId="0" fontId="23" fillId="0" borderId="1" xfId="0" applyFont="1" applyFill="1" applyBorder="1"/>
    <xf numFmtId="0" fontId="23" fillId="0" borderId="3" xfId="0" applyFont="1" applyFill="1" applyBorder="1"/>
    <xf numFmtId="0" fontId="24" fillId="8" borderId="3" xfId="0" applyFont="1" applyFill="1" applyBorder="1" applyAlignment="1">
      <alignment horizontal="center"/>
    </xf>
    <xf numFmtId="3" fontId="25" fillId="8" borderId="1" xfId="0" applyNumberFormat="1" applyFont="1" applyFill="1" applyBorder="1" applyAlignment="1">
      <alignment horizontal="center"/>
    </xf>
    <xf numFmtId="0" fontId="23" fillId="0" borderId="0" xfId="0" applyFont="1" applyFill="1" applyBorder="1"/>
    <xf numFmtId="0" fontId="24" fillId="9" borderId="1" xfId="0" applyFont="1" applyFill="1" applyBorder="1" applyAlignment="1">
      <alignment horizontal="center"/>
    </xf>
    <xf numFmtId="0" fontId="24" fillId="0" borderId="0" xfId="0" applyFont="1"/>
    <xf numFmtId="0" fontId="24" fillId="9" borderId="3" xfId="0" applyFont="1" applyFill="1" applyBorder="1" applyAlignment="1">
      <alignment horizontal="center"/>
    </xf>
    <xf numFmtId="3" fontId="24" fillId="9" borderId="1" xfId="0" applyNumberFormat="1" applyFont="1" applyFill="1" applyBorder="1" applyAlignment="1">
      <alignment horizontal="center"/>
    </xf>
    <xf numFmtId="9" fontId="23" fillId="0" borderId="0" xfId="0" applyNumberFormat="1" applyFont="1"/>
    <xf numFmtId="166" fontId="23" fillId="0" borderId="0" xfId="7" applyNumberFormat="1" applyFont="1"/>
    <xf numFmtId="166" fontId="23" fillId="0" borderId="0" xfId="0" applyNumberFormat="1" applyFont="1"/>
    <xf numFmtId="168" fontId="23" fillId="0" borderId="0" xfId="0" applyNumberFormat="1" applyFont="1"/>
    <xf numFmtId="0" fontId="24" fillId="10" borderId="1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/>
    </xf>
    <xf numFmtId="3" fontId="23" fillId="11" borderId="1" xfId="0" applyNumberFormat="1" applyFont="1" applyFill="1" applyBorder="1" applyAlignment="1">
      <alignment horizontal="center"/>
    </xf>
    <xf numFmtId="3" fontId="24" fillId="10" borderId="1" xfId="0" applyNumberFormat="1" applyFont="1" applyFill="1" applyBorder="1" applyAlignment="1">
      <alignment horizontal="center"/>
    </xf>
    <xf numFmtId="3" fontId="24" fillId="11" borderId="1" xfId="0" applyNumberFormat="1" applyFont="1" applyFill="1" applyBorder="1" applyAlignment="1">
      <alignment horizontal="center"/>
    </xf>
    <xf numFmtId="164" fontId="23" fillId="0" borderId="0" xfId="1" applyFont="1"/>
    <xf numFmtId="0" fontId="27" fillId="4" borderId="0" xfId="0" applyFont="1" applyFill="1" applyAlignment="1">
      <alignment vertical="center"/>
    </xf>
    <xf numFmtId="49" fontId="26" fillId="8" borderId="1" xfId="0" applyNumberFormat="1" applyFont="1" applyFill="1" applyBorder="1" applyAlignment="1">
      <alignment vertical="center"/>
    </xf>
    <xf numFmtId="167" fontId="26" fillId="8" borderId="1" xfId="0" applyNumberFormat="1" applyFont="1" applyFill="1" applyBorder="1" applyAlignment="1">
      <alignment horizontal="center" vertical="center"/>
    </xf>
    <xf numFmtId="49" fontId="26" fillId="8" borderId="46" xfId="0" applyNumberFormat="1" applyFont="1" applyFill="1" applyBorder="1" applyAlignment="1">
      <alignment horizontal="center" vertical="center"/>
    </xf>
    <xf numFmtId="3" fontId="26" fillId="8" borderId="1" xfId="0" applyNumberFormat="1" applyFont="1" applyFill="1" applyBorder="1" applyAlignment="1">
      <alignment horizontal="center" vertical="center"/>
    </xf>
    <xf numFmtId="1" fontId="27" fillId="4" borderId="1" xfId="0" applyNumberFormat="1" applyFont="1" applyFill="1" applyBorder="1" applyAlignment="1">
      <alignment vertical="center"/>
    </xf>
    <xf numFmtId="49" fontId="27" fillId="4" borderId="1" xfId="0" applyNumberFormat="1" applyFont="1" applyFill="1" applyBorder="1" applyAlignment="1">
      <alignment vertical="center"/>
    </xf>
    <xf numFmtId="167" fontId="29" fillId="4" borderId="1" xfId="0" applyNumberFormat="1" applyFont="1" applyFill="1" applyBorder="1" applyAlignment="1">
      <alignment horizontal="center" vertical="center"/>
    </xf>
    <xf numFmtId="3" fontId="29" fillId="4" borderId="1" xfId="0" applyNumberFormat="1" applyFont="1" applyFill="1" applyBorder="1" applyAlignment="1">
      <alignment horizontal="center" vertical="center"/>
    </xf>
    <xf numFmtId="3" fontId="27" fillId="4" borderId="1" xfId="0" applyNumberFormat="1" applyFont="1" applyFill="1" applyBorder="1" applyAlignment="1">
      <alignment horizontal="center" vertical="center"/>
    </xf>
    <xf numFmtId="167" fontId="27" fillId="4" borderId="0" xfId="0" applyNumberFormat="1" applyFont="1" applyFill="1" applyAlignment="1">
      <alignment vertical="center"/>
    </xf>
    <xf numFmtId="0" fontId="8" fillId="8" borderId="20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8" fillId="8" borderId="30" xfId="0" applyFont="1" applyFill="1" applyBorder="1" applyAlignment="1">
      <alignment horizontal="center"/>
    </xf>
    <xf numFmtId="0" fontId="0" fillId="8" borderId="0" xfId="0" applyFill="1"/>
    <xf numFmtId="0" fontId="6" fillId="12" borderId="13" xfId="0" applyFont="1" applyFill="1" applyBorder="1" applyAlignment="1">
      <alignment horizontal="left"/>
    </xf>
    <xf numFmtId="3" fontId="6" fillId="12" borderId="13" xfId="0" applyNumberFormat="1" applyFont="1" applyFill="1" applyBorder="1" applyAlignment="1">
      <alignment horizontal="center"/>
    </xf>
    <xf numFmtId="3" fontId="6" fillId="12" borderId="14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left"/>
    </xf>
    <xf numFmtId="3" fontId="6" fillId="12" borderId="1" xfId="0" applyNumberFormat="1" applyFont="1" applyFill="1" applyBorder="1" applyAlignment="1">
      <alignment horizontal="center"/>
    </xf>
    <xf numFmtId="0" fontId="6" fillId="9" borderId="1" xfId="0" applyFont="1" applyFill="1" applyBorder="1"/>
    <xf numFmtId="0" fontId="30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8" fillId="13" borderId="1" xfId="0" applyFont="1" applyFill="1" applyBorder="1"/>
    <xf numFmtId="3" fontId="8" fillId="13" borderId="1" xfId="0" applyNumberFormat="1" applyFont="1" applyFill="1" applyBorder="1" applyAlignment="1">
      <alignment horizontal="center"/>
    </xf>
    <xf numFmtId="3" fontId="8" fillId="13" borderId="12" xfId="0" applyNumberFormat="1" applyFont="1" applyFill="1" applyBorder="1" applyAlignment="1">
      <alignment horizontal="center"/>
    </xf>
    <xf numFmtId="0" fontId="8" fillId="13" borderId="23" xfId="0" applyFont="1" applyFill="1" applyBorder="1"/>
    <xf numFmtId="3" fontId="8" fillId="13" borderId="23" xfId="0" applyNumberFormat="1" applyFont="1" applyFill="1" applyBorder="1" applyAlignment="1">
      <alignment horizontal="center"/>
    </xf>
    <xf numFmtId="3" fontId="8" fillId="13" borderId="24" xfId="0" applyNumberFormat="1" applyFont="1" applyFill="1" applyBorder="1" applyAlignment="1">
      <alignment horizontal="center"/>
    </xf>
    <xf numFmtId="3" fontId="8" fillId="14" borderId="1" xfId="0" applyNumberFormat="1" applyFont="1" applyFill="1" applyBorder="1" applyAlignment="1">
      <alignment horizontal="center"/>
    </xf>
    <xf numFmtId="3" fontId="0" fillId="14" borderId="1" xfId="0" applyNumberFormat="1" applyFill="1" applyBorder="1" applyAlignment="1">
      <alignment horizontal="center"/>
    </xf>
    <xf numFmtId="0" fontId="6" fillId="12" borderId="25" xfId="0" applyFont="1" applyFill="1" applyBorder="1" applyAlignment="1">
      <alignment horizontal="left"/>
    </xf>
    <xf numFmtId="0" fontId="6" fillId="12" borderId="10" xfId="0" applyFont="1" applyFill="1" applyBorder="1" applyAlignment="1">
      <alignment horizontal="left"/>
    </xf>
    <xf numFmtId="0" fontId="6" fillId="9" borderId="10" xfId="0" applyFont="1" applyFill="1" applyBorder="1"/>
    <xf numFmtId="0" fontId="8" fillId="13" borderId="10" xfId="0" applyFont="1" applyFill="1" applyBorder="1"/>
    <xf numFmtId="0" fontId="8" fillId="13" borderId="26" xfId="0" applyFont="1" applyFill="1" applyBorder="1"/>
    <xf numFmtId="3" fontId="6" fillId="9" borderId="12" xfId="0" applyNumberFormat="1" applyFont="1" applyFill="1" applyBorder="1" applyAlignment="1">
      <alignment horizontal="center"/>
    </xf>
    <xf numFmtId="2" fontId="17" fillId="6" borderId="27" xfId="0" applyNumberFormat="1" applyFont="1" applyFill="1" applyBorder="1" applyAlignment="1">
      <alignment horizontal="center" vertical="center"/>
    </xf>
    <xf numFmtId="2" fontId="17" fillId="6" borderId="43" xfId="0" applyNumberFormat="1" applyFont="1" applyFill="1" applyBorder="1" applyAlignment="1">
      <alignment horizontal="center" vertical="center"/>
    </xf>
    <xf numFmtId="3" fontId="11" fillId="6" borderId="0" xfId="0" applyNumberFormat="1" applyFont="1" applyFill="1" applyAlignment="1">
      <alignment horizontal="left"/>
    </xf>
    <xf numFmtId="2" fontId="11" fillId="5" borderId="0" xfId="0" applyNumberFormat="1" applyFont="1" applyFill="1" applyAlignment="1">
      <alignment horizontal="center" vertical="center"/>
    </xf>
    <xf numFmtId="2" fontId="13" fillId="0" borderId="31" xfId="0" applyNumberFormat="1" applyFont="1" applyBorder="1" applyAlignment="1">
      <alignment horizontal="center" vertical="center"/>
    </xf>
    <xf numFmtId="0" fontId="17" fillId="5" borderId="31" xfId="0" applyFont="1" applyFill="1" applyBorder="1" applyAlignment="1">
      <alignment horizontal="center"/>
    </xf>
    <xf numFmtId="0" fontId="18" fillId="8" borderId="32" xfId="5" applyNumberFormat="1" applyFont="1" applyFill="1" applyBorder="1" applyAlignment="1" applyProtection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5" fillId="8" borderId="2" xfId="0" applyFont="1" applyFill="1" applyBorder="1" applyAlignment="1">
      <alignment horizontal="center"/>
    </xf>
    <xf numFmtId="0" fontId="25" fillId="8" borderId="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4" fillId="9" borderId="3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28" fillId="9" borderId="1" xfId="0" applyNumberFormat="1" applyFont="1" applyFill="1" applyBorder="1" applyAlignment="1">
      <alignment horizontal="center" vertical="center"/>
    </xf>
    <xf numFmtId="49" fontId="28" fillId="9" borderId="2" xfId="0" applyNumberFormat="1" applyFont="1" applyFill="1" applyBorder="1" applyAlignment="1">
      <alignment horizontal="center" vertical="center"/>
    </xf>
    <xf numFmtId="49" fontId="28" fillId="9" borderId="16" xfId="0" applyNumberFormat="1" applyFont="1" applyFill="1" applyBorder="1" applyAlignment="1">
      <alignment horizontal="center" vertical="center"/>
    </xf>
    <xf numFmtId="49" fontId="28" fillId="9" borderId="3" xfId="0" applyNumberFormat="1" applyFont="1" applyFill="1" applyBorder="1" applyAlignment="1">
      <alignment horizontal="center" vertical="center"/>
    </xf>
    <xf numFmtId="3" fontId="28" fillId="9" borderId="2" xfId="0" applyNumberFormat="1" applyFont="1" applyFill="1" applyBorder="1" applyAlignment="1">
      <alignment horizontal="center" vertical="center"/>
    </xf>
    <xf numFmtId="3" fontId="28" fillId="9" borderId="3" xfId="0" applyNumberFormat="1" applyFont="1" applyFill="1" applyBorder="1" applyAlignment="1">
      <alignment horizontal="center" vertical="center"/>
    </xf>
    <xf numFmtId="49" fontId="26" fillId="8" borderId="45" xfId="0" applyNumberFormat="1" applyFont="1" applyFill="1" applyBorder="1" applyAlignment="1">
      <alignment horizontal="center"/>
    </xf>
    <xf numFmtId="49" fontId="26" fillId="8" borderId="0" xfId="0" applyNumberFormat="1" applyFont="1" applyFill="1" applyBorder="1" applyAlignment="1">
      <alignment horizontal="center"/>
    </xf>
  </cellXfs>
  <cellStyles count="10">
    <cellStyle name="Comma" xfId="1" builtinId="3"/>
    <cellStyle name="Comma 2" xfId="9" xr:uid="{8BF9C47D-6B04-4141-BA21-FF23A407D789}"/>
    <cellStyle name="Milliers 4 2" xfId="5" xr:uid="{00000000-0005-0000-0000-000001000000}"/>
    <cellStyle name="Normal" xfId="0" builtinId="0"/>
    <cellStyle name="Normal 10" xfId="3" xr:uid="{00000000-0005-0000-0000-000003000000}"/>
    <cellStyle name="Normal 2 10" xfId="2" xr:uid="{00000000-0005-0000-0000-000004000000}"/>
    <cellStyle name="Normal 20" xfId="8" xr:uid="{00000000-0005-0000-0000-000005000000}"/>
    <cellStyle name="Percent" xfId="7" builtinId="5"/>
    <cellStyle name="Percent 2 3" xfId="4" xr:uid="{00000000-0005-0000-0000-000007000000}"/>
    <cellStyle name="Pourcentage 3 2" xfId="6" xr:uid="{00000000-0005-0000-0000-000008000000}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4" tint="-0.249977111117893"/>
        </patternFill>
      </fill>
    </dxf>
    <dxf>
      <numFmt numFmtId="3" formatCode="#,##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4" tint="-0.249977111117893"/>
        </patternFill>
      </fill>
    </dxf>
    <dxf>
      <numFmt numFmtId="3" formatCode="#,##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ONTENT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647700</xdr:colOff>
      <xdr:row>1</xdr:row>
      <xdr:rowOff>12635</xdr:rowOff>
    </xdr:to>
    <xdr:sp macro="" textlink="">
      <xdr:nvSpPr>
        <xdr:cNvPr id="2" name="AutoShape 1" descr="Rectangle à coins arrondis: Back ">
          <a:extLst>
            <a:ext uri="{FF2B5EF4-FFF2-40B4-BE49-F238E27FC236}">
              <a16:creationId xmlns:a16="http://schemas.microsoft.com/office/drawing/2014/main" id="{93CDC8C7-962E-4557-A2E2-6E7C25249CEE}"/>
            </a:ext>
          </a:extLst>
        </xdr:cNvPr>
        <xdr:cNvSpPr>
          <a:spLocks noChangeAspect="1" noChangeArrowheads="1"/>
        </xdr:cNvSpPr>
      </xdr:nvSpPr>
      <xdr:spPr bwMode="auto">
        <a:xfrm>
          <a:off x="8205788" y="0"/>
          <a:ext cx="647700" cy="241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</xdr:row>
      <xdr:rowOff>87630</xdr:rowOff>
    </xdr:from>
    <xdr:to>
      <xdr:col>5</xdr:col>
      <xdr:colOff>0</xdr:colOff>
      <xdr:row>4</xdr:row>
      <xdr:rowOff>87630</xdr:rowOff>
    </xdr:to>
    <xdr:sp macro="" textlink="">
      <xdr:nvSpPr>
        <xdr:cNvPr id="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433F92-8B87-4DCF-B635-15E1A14BADF5}"/>
            </a:ext>
          </a:extLst>
        </xdr:cNvPr>
        <xdr:cNvSpPr>
          <a:spLocks noChangeArrowheads="1"/>
        </xdr:cNvSpPr>
      </xdr:nvSpPr>
      <xdr:spPr bwMode="auto">
        <a:xfrm>
          <a:off x="8024813" y="687705"/>
          <a:ext cx="0" cy="180975"/>
        </a:xfrm>
        <a:prstGeom prst="roundRect">
          <a:avLst>
            <a:gd name="adj" fmla="val 16667"/>
          </a:avLst>
        </a:prstGeom>
        <a:solidFill>
          <a:srgbClr val="0066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chemeClr val="bg1"/>
              </a:solidFill>
              <a:latin typeface="Arial"/>
              <a:cs typeface="Arial"/>
            </a:rPr>
            <a:t>Back</a:t>
          </a:r>
          <a:endParaRPr lang="fr-FR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0</xdr:colOff>
      <xdr:row>3</xdr:row>
      <xdr:rowOff>87630</xdr:rowOff>
    </xdr:from>
    <xdr:to>
      <xdr:col>5</xdr:col>
      <xdr:colOff>0</xdr:colOff>
      <xdr:row>4</xdr:row>
      <xdr:rowOff>87630</xdr:rowOff>
    </xdr:to>
    <xdr:sp macro="" textlink="">
      <xdr:nvSpPr>
        <xdr:cNvPr id="4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FD1D0-C15A-4AF8-9E21-DF1C547CC097}"/>
            </a:ext>
          </a:extLst>
        </xdr:cNvPr>
        <xdr:cNvSpPr>
          <a:spLocks noChangeArrowheads="1"/>
        </xdr:cNvSpPr>
      </xdr:nvSpPr>
      <xdr:spPr bwMode="auto">
        <a:xfrm>
          <a:off x="8024813" y="687705"/>
          <a:ext cx="0" cy="180975"/>
        </a:xfrm>
        <a:prstGeom prst="roundRect">
          <a:avLst>
            <a:gd name="adj" fmla="val 16667"/>
          </a:avLst>
        </a:prstGeom>
        <a:solidFill>
          <a:srgbClr val="0066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chemeClr val="bg1"/>
              </a:solidFill>
              <a:latin typeface="Arial"/>
              <a:cs typeface="Arial"/>
            </a:rPr>
            <a:t>Back</a:t>
          </a:r>
          <a:endParaRPr lang="fr-FR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1272208</xdr:colOff>
      <xdr:row>0</xdr:row>
      <xdr:rowOff>86138</xdr:rowOff>
    </xdr:from>
    <xdr:to>
      <xdr:col>2</xdr:col>
      <xdr:colOff>1689652</xdr:colOff>
      <xdr:row>2</xdr:row>
      <xdr:rowOff>115119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7739DC18-EF39-478A-9D56-C0D93E2B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573" y="86138"/>
          <a:ext cx="1828801" cy="433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106681</xdr:rowOff>
    </xdr:from>
    <xdr:to>
      <xdr:col>1</xdr:col>
      <xdr:colOff>880466</xdr:colOff>
      <xdr:row>0</xdr:row>
      <xdr:rowOff>525781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6D83C61B-AE94-41AF-B9A1-2366A56B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106681"/>
          <a:ext cx="1604366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111035</xdr:rowOff>
    </xdr:from>
    <xdr:to>
      <xdr:col>3</xdr:col>
      <xdr:colOff>103294</xdr:colOff>
      <xdr:row>2</xdr:row>
      <xdr:rowOff>171451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BACB8724-5564-492C-A28E-8DB15DB9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035"/>
          <a:ext cx="2760769" cy="659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500944</xdr:colOff>
      <xdr:row>0</xdr:row>
      <xdr:rowOff>21167</xdr:rowOff>
    </xdr:from>
    <xdr:to>
      <xdr:col>2</xdr:col>
      <xdr:colOff>1100666</xdr:colOff>
      <xdr:row>1</xdr:row>
      <xdr:rowOff>100861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5F1D2B8-492A-451A-9070-03B35B405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055" y="21167"/>
          <a:ext cx="2123722" cy="5030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2325756</xdr:colOff>
      <xdr:row>0</xdr:row>
      <xdr:rowOff>59635</xdr:rowOff>
    </xdr:from>
    <xdr:to>
      <xdr:col>2</xdr:col>
      <xdr:colOff>1559885</xdr:colOff>
      <xdr:row>0</xdr:row>
      <xdr:rowOff>609599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B8A49ED4-3F20-4B19-809A-9D9908A38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9304" y="59635"/>
          <a:ext cx="2321885" cy="5499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wan" refreshedDate="45995.728285879632" createdVersion="7" refreshedVersion="7" minRefreshableVersion="3" recordCount="31" xr:uid="{BB1675D6-EB1A-4AFA-A145-1C1575615FEA}">
  <cacheSource type="worksheet">
    <worksheetSource ref="A17:R20" sheet="Summary By Brands Per Door"/>
  </cacheSource>
  <cacheFields count="17">
    <cacheField name="Retiler" numFmtId="3">
      <sharedItems count="11">
        <s v="RUBAIYAT"/>
        <s v="BEAUTY"/>
        <s v="LAROMIOUS"/>
        <s v="FACES"/>
        <s v="GOLD APPLE"/>
        <s v="LOR"/>
        <s v="SENSI"/>
        <s v="GOLDN SCENT"/>
        <s v="ELITE"/>
        <s v="O100"/>
        <s v="THE VISITOR"/>
      </sharedItems>
    </cacheField>
    <cacheField name="Area" numFmtId="3">
      <sharedItems/>
    </cacheField>
    <cacheField name="Brand Name" numFmtId="49">
      <sharedItems count="3">
        <s v="JUSBOX"/>
        <s v="New Notes"/>
        <s v="THoO"/>
      </sharedItems>
    </cacheField>
    <cacheField name="Store" numFmtId="3">
      <sharedItems/>
    </cacheField>
    <cacheField name="TTL" numFmtId="3">
      <sharedItems containsSemiMixedTypes="0" containsString="0" containsNumber="1" minValue="119600" maxValue="351827.99999999994"/>
    </cacheField>
    <cacheField name="Jan-25" numFmtId="3">
      <sharedItems containsSemiMixedTypes="0" containsString="0" containsNumber="1" minValue="9568" maxValue="28146.239999999998"/>
    </cacheField>
    <cacheField name="Feb-25" numFmtId="3">
      <sharedItems containsSemiMixedTypes="0" containsString="0" containsNumber="1" minValue="7774" maxValue="22868.819999999996"/>
    </cacheField>
    <cacheField name="Mar-25" numFmtId="3">
      <sharedItems containsSemiMixedTypes="0" containsString="0" containsNumber="1" minValue="17940" maxValue="52774.2"/>
    </cacheField>
    <cacheField name="Apr-25" numFmtId="3">
      <sharedItems containsSemiMixedTypes="0" containsString="0" containsNumber="1" minValue="6578" maxValue="19350.539999999997"/>
    </cacheField>
    <cacheField name="May-25" numFmtId="3">
      <sharedItems containsSemiMixedTypes="0" containsString="0" containsNumber="1" minValue="11960" maxValue="35182.799999999996"/>
    </cacheField>
    <cacheField name="Jun-25" numFmtId="3">
      <sharedItems containsSemiMixedTypes="0" containsString="0" containsNumber="1" minValue="11960" maxValue="35182.799999999996"/>
    </cacheField>
    <cacheField name="Jul-25" numFmtId="3">
      <sharedItems containsSemiMixedTypes="0" containsString="0" containsNumber="1" minValue="10166" maxValue="29905.379999999997"/>
    </cacheField>
    <cacheField name="Aug-25" numFmtId="3">
      <sharedItems containsSemiMixedTypes="0" containsString="0" containsNumber="1" minValue="7774" maxValue="22868.819999999996"/>
    </cacheField>
    <cacheField name="Sep-25" numFmtId="3">
      <sharedItems containsSemiMixedTypes="0" containsString="0" containsNumber="1" minValue="8970" maxValue="26387.1"/>
    </cacheField>
    <cacheField name="Oct-25" numFmtId="3">
      <sharedItems containsSemiMixedTypes="0" containsString="0" containsNumber="1" minValue="9568" maxValue="28146.239999999998"/>
    </cacheField>
    <cacheField name="Nov-25" numFmtId="3">
      <sharedItems containsSemiMixedTypes="0" containsString="0" containsNumber="1" minValue="7176" maxValue="21109.68"/>
    </cacheField>
    <cacheField name="Dec-25" numFmtId="3">
      <sharedItems containsSemiMixedTypes="0" containsString="0" containsNumber="1" minValue="10166" maxValue="29905.37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wan" refreshedDate="46019.421104513887" createdVersion="7" refreshedVersion="7" minRefreshableVersion="3" recordCount="31" xr:uid="{37CC384E-0123-4A13-AD21-2D512185C1F1}">
  <cacheSource type="worksheet">
    <worksheetSource ref="A5:R8" sheet="Summary By Brands Per Door"/>
  </cacheSource>
  <cacheFields count="17">
    <cacheField name="Retiler" numFmtId="3">
      <sharedItems count="11">
        <s v="RUBAIYAT"/>
        <s v="BEAUTY"/>
        <s v="LAROMIOUS"/>
        <s v="FACES"/>
        <s v="GOLD APPLE"/>
        <s v="LAURE"/>
        <s v="SENSI"/>
        <s v="GOLDN SCENT"/>
        <s v="ELITE"/>
        <s v="O100"/>
        <s v="THE VISITOR"/>
      </sharedItems>
    </cacheField>
    <cacheField name="Area" numFmtId="3">
      <sharedItems/>
    </cacheField>
    <cacheField name="Brand Name" numFmtId="49">
      <sharedItems count="3">
        <s v="JUSBOX"/>
        <s v="New Notes"/>
        <s v="THoO"/>
      </sharedItems>
    </cacheField>
    <cacheField name="Store" numFmtId="3">
      <sharedItems/>
    </cacheField>
    <cacheField name="TTL" numFmtId="3">
      <sharedItems containsSemiMixedTypes="0" containsString="0" containsNumber="1" minValue="0" maxValue="651024"/>
    </cacheField>
    <cacheField name="Jan-26" numFmtId="3">
      <sharedItems containsString="0" containsBlank="1" containsNumber="1" minValue="0" maxValue="52081.919999999998"/>
    </cacheField>
    <cacheField name="Feb-26" numFmtId="3">
      <sharedItems containsString="0" containsBlank="1" containsNumber="1" minValue="0" maxValue="42316.560000000005"/>
    </cacheField>
    <cacheField name="Mar-26" numFmtId="3">
      <sharedItems containsString="0" containsBlank="1" containsNumber="1" minValue="0" maxValue="97653.599999999991"/>
    </cacheField>
    <cacheField name="Apr-26" numFmtId="3">
      <sharedItems containsString="0" containsBlank="1" containsNumber="1" minValue="0" maxValue="35806.32"/>
    </cacheField>
    <cacheField name="May-26" numFmtId="3">
      <sharedItems containsString="0" containsBlank="1" containsNumber="1" minValue="13455" maxValue="65102.400000000001"/>
    </cacheField>
    <cacheField name="Jun-26" numFmtId="3">
      <sharedItems containsString="0" containsBlank="1" containsNumber="1" minValue="13455" maxValue="65102.400000000001"/>
    </cacheField>
    <cacheField name="Jul-26" numFmtId="3">
      <sharedItems containsString="0" containsBlank="1" containsNumber="1" minValue="11436.75" maxValue="55337.04"/>
    </cacheField>
    <cacheField name="Aug-26" numFmtId="3">
      <sharedItems containsString="0" containsBlank="1" containsNumber="1" minValue="8745.75" maxValue="42316.560000000005"/>
    </cacheField>
    <cacheField name="Sep-26" numFmtId="3">
      <sharedItems containsString="0" containsBlank="1" containsNumber="1" minValue="10091.25" maxValue="48826.799999999996"/>
    </cacheField>
    <cacheField name="Oct-26" numFmtId="3">
      <sharedItems containsString="0" containsBlank="1" containsNumber="1" minValue="10764" maxValue="52081.919999999998"/>
    </cacheField>
    <cacheField name="Nov-26" numFmtId="3">
      <sharedItems containsString="0" containsBlank="1" containsNumber="1" minValue="8073" maxValue="39061.439999999995"/>
    </cacheField>
    <cacheField name="Dec-26" numFmtId="3">
      <sharedItems containsString="0" containsBlank="1" containsNumber="1" minValue="11436.75" maxValue="55337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JEDDAH"/>
    <x v="0"/>
    <s v="RUBAIYAT JEDDAH"/>
    <n v="237120.00000000003"/>
    <n v="18969.600000000002"/>
    <n v="15412.800000000001"/>
    <n v="35568"/>
    <n v="13041.6"/>
    <n v="23712"/>
    <n v="23712"/>
    <n v="20155.2"/>
    <n v="15412.800000000001"/>
    <n v="17784"/>
    <n v="18969.600000000002"/>
    <n v="14227.2"/>
    <n v="20155.2"/>
  </r>
  <r>
    <x v="1"/>
    <s v="JEDDAH"/>
    <x v="0"/>
    <s v="BEAUTI REDSEA MALL"/>
    <n v="125400"/>
    <n v="10032"/>
    <n v="8151"/>
    <n v="18810"/>
    <n v="6897"/>
    <n v="12540"/>
    <n v="12540"/>
    <n v="10659"/>
    <n v="8151"/>
    <n v="9405"/>
    <n v="10032"/>
    <n v="7524"/>
    <n v="10659"/>
  </r>
  <r>
    <x v="2"/>
    <s v="RIYADH"/>
    <x v="0"/>
    <s v="LAROMUAS RIYADH"/>
    <n v="125400"/>
    <n v="10032"/>
    <n v="8151"/>
    <n v="18810"/>
    <n v="6897"/>
    <n v="12540"/>
    <n v="12540"/>
    <n v="10659"/>
    <n v="8151"/>
    <n v="9405"/>
    <n v="10032"/>
    <n v="7524"/>
    <n v="10659"/>
  </r>
  <r>
    <x v="3"/>
    <s v="RIYADH"/>
    <x v="1"/>
    <s v="FACES - NAKHEEL MALL - RIYADH"/>
    <n v="125580"/>
    <n v="10046.4"/>
    <n v="8162.7000000000007"/>
    <n v="18837"/>
    <n v="6906.9"/>
    <n v="12558"/>
    <n v="12558"/>
    <n v="10674.300000000001"/>
    <n v="8162.7000000000007"/>
    <n v="9418.5"/>
    <n v="10046.4"/>
    <n v="7534.7999999999993"/>
    <n v="10674.300000000001"/>
  </r>
  <r>
    <x v="3"/>
    <s v="RIYADH"/>
    <x v="1"/>
    <s v="FACES - GRANADA MALL - RIYADH"/>
    <n v="125580"/>
    <n v="10046.4"/>
    <n v="8162.7000000000007"/>
    <n v="18837"/>
    <n v="6906.9"/>
    <n v="12558"/>
    <n v="12558"/>
    <n v="10674.300000000001"/>
    <n v="8162.7000000000007"/>
    <n v="9418.5"/>
    <n v="10046.4"/>
    <n v="7534.7999999999993"/>
    <n v="10674.300000000001"/>
  </r>
  <r>
    <x v="3"/>
    <s v="RIYADH"/>
    <x v="1"/>
    <s v="FACES - RIYADH PARK - RIYADH"/>
    <n v="125580"/>
    <n v="10046.4"/>
    <n v="8162.7000000000007"/>
    <n v="18837"/>
    <n v="6906.9"/>
    <n v="12558"/>
    <n v="12558"/>
    <n v="10674.300000000001"/>
    <n v="8162.7000000000007"/>
    <n v="9418.5"/>
    <n v="10046.4"/>
    <n v="7534.7999999999993"/>
    <n v="10674.300000000001"/>
  </r>
  <r>
    <x v="3"/>
    <s v="DAMMAM"/>
    <x v="1"/>
    <s v="FACES - NAKHEEL MALL - DAMMAM"/>
    <n v="125580"/>
    <n v="10046.4"/>
    <n v="8162.7000000000007"/>
    <n v="18837"/>
    <n v="6906.9"/>
    <n v="12558"/>
    <n v="12558"/>
    <n v="10674.300000000001"/>
    <n v="8162.7000000000007"/>
    <n v="9418.5"/>
    <n v="10046.4"/>
    <n v="7534.7999999999993"/>
    <n v="10674.300000000001"/>
  </r>
  <r>
    <x v="0"/>
    <s v="JEDDAH"/>
    <x v="1"/>
    <s v="RUBAIYAT JEDDAH"/>
    <n v="139932"/>
    <n v="11194.56"/>
    <n v="9095.58"/>
    <n v="20989.8"/>
    <n v="7696.26"/>
    <n v="13993.2"/>
    <n v="13993.2"/>
    <n v="11894.220000000001"/>
    <n v="9095.58"/>
    <n v="10494.9"/>
    <n v="11194.56"/>
    <n v="8395.92"/>
    <n v="11894.220000000001"/>
  </r>
  <r>
    <x v="1"/>
    <s v="JEDDAH"/>
    <x v="1"/>
    <s v="BEAUTI REDSEA MALL"/>
    <n v="157872"/>
    <n v="12629.76"/>
    <n v="10261.68"/>
    <n v="23680.799999999999"/>
    <n v="8682.9599999999991"/>
    <n v="15787.199999999999"/>
    <n v="15787.199999999999"/>
    <n v="13419.12"/>
    <n v="10261.68"/>
    <n v="11840.4"/>
    <n v="12629.76"/>
    <n v="9472.32"/>
    <n v="13419.12"/>
  </r>
  <r>
    <x v="2"/>
    <s v="RIYADH"/>
    <x v="1"/>
    <s v="LAROMUAS RIYADH"/>
    <n v="164450"/>
    <n v="13156"/>
    <n v="10689.25"/>
    <n v="24667.5"/>
    <n v="9044.75"/>
    <n v="16445"/>
    <n v="16445"/>
    <n v="13978.250000000002"/>
    <n v="10689.25"/>
    <n v="12333.75"/>
    <n v="13156"/>
    <n v="9867"/>
    <n v="13978.250000000002"/>
  </r>
  <r>
    <x v="4"/>
    <s v="JEDDAH"/>
    <x v="1"/>
    <s v="GOLD APPLE REDSEA MALL"/>
    <n v="127075"/>
    <n v="10166"/>
    <n v="8259.875"/>
    <n v="19061.25"/>
    <n v="6989.125"/>
    <n v="12707.5"/>
    <n v="12707.5"/>
    <n v="10801.375"/>
    <n v="8259.875"/>
    <n v="9530.625"/>
    <n v="10166"/>
    <n v="7624.5"/>
    <n v="10801.375"/>
  </r>
  <r>
    <x v="4"/>
    <s v="RIYADH"/>
    <x v="1"/>
    <s v="GOLD APPLE RIYADH PARK"/>
    <n v="127075"/>
    <n v="10166"/>
    <n v="8259.875"/>
    <n v="19061.25"/>
    <n v="6989.125"/>
    <n v="12707.5"/>
    <n v="12707.5"/>
    <n v="10801.375"/>
    <n v="8259.875"/>
    <n v="9530.625"/>
    <n v="10166"/>
    <n v="7624.5"/>
    <n v="10801.375"/>
  </r>
  <r>
    <x v="5"/>
    <s v="RIYADH"/>
    <x v="1"/>
    <s v="LOR - CENTRIA - RIYADH"/>
    <n v="224250"/>
    <n v="17940"/>
    <n v="14576.25"/>
    <n v="33637.5"/>
    <n v="12333.75"/>
    <n v="22425"/>
    <n v="22425"/>
    <n v="19061.25"/>
    <n v="14576.25"/>
    <n v="16818.75"/>
    <n v="17940"/>
    <n v="13455"/>
    <n v="19061.25"/>
  </r>
  <r>
    <x v="5"/>
    <s v="RIYADH"/>
    <x v="1"/>
    <s v="LOR - PANORAMA - RIYADH"/>
    <n v="224250"/>
    <n v="17940"/>
    <n v="14576.25"/>
    <n v="33637.5"/>
    <n v="12333.75"/>
    <n v="22425"/>
    <n v="22425"/>
    <n v="19061.25"/>
    <n v="14576.25"/>
    <n v="16818.75"/>
    <n v="17940"/>
    <n v="13455"/>
    <n v="19061.25"/>
  </r>
  <r>
    <x v="6"/>
    <s v="MAKKAH"/>
    <x v="1"/>
    <s v="SENSI MAKKAH ABRAJ"/>
    <n v="161460"/>
    <n v="12916.8"/>
    <n v="10494.9"/>
    <n v="24218.999999999996"/>
    <n v="8880.2999999999993"/>
    <n v="16146"/>
    <n v="16146"/>
    <n v="13724.099999999999"/>
    <n v="10494.9"/>
    <n v="12109.499999999998"/>
    <n v="12916.8"/>
    <n v="9687.5999999999985"/>
    <n v="13724.099999999999"/>
  </r>
  <r>
    <x v="7"/>
    <s v="RIYADH"/>
    <x v="1"/>
    <s v="GOLDN SCENT ONLINE"/>
    <n v="119600"/>
    <n v="9568"/>
    <n v="7774"/>
    <n v="17940"/>
    <n v="6578"/>
    <n v="11960"/>
    <n v="11960"/>
    <n v="10166"/>
    <n v="7774"/>
    <n v="8970"/>
    <n v="9568"/>
    <n v="7176"/>
    <n v="10166"/>
  </r>
  <r>
    <x v="8"/>
    <s v="JEDDAH"/>
    <x v="1"/>
    <s v="ELITE"/>
    <n v="127100"/>
    <n v="10168"/>
    <n v="8261.5"/>
    <n v="19065"/>
    <n v="6990.5"/>
    <n v="12710"/>
    <n v="12710"/>
    <n v="10803.5"/>
    <n v="8261.5"/>
    <n v="9532.5"/>
    <n v="10168"/>
    <n v="7626"/>
    <n v="10803.5"/>
  </r>
  <r>
    <x v="9"/>
    <s v="RIYADH"/>
    <x v="1"/>
    <s v="O100 2 Location"/>
    <n v="191360"/>
    <n v="15308.800000000001"/>
    <n v="12438.4"/>
    <n v="28704"/>
    <n v="10524.8"/>
    <n v="19136"/>
    <n v="19136"/>
    <n v="16265.6"/>
    <n v="12438.4"/>
    <n v="14352"/>
    <n v="15308.800000000001"/>
    <n v="11481.6"/>
    <n v="16265.6"/>
  </r>
  <r>
    <x v="3"/>
    <s v="RIYADH"/>
    <x v="2"/>
    <s v="FACES - NAKHEEL MALL - RIYADH"/>
    <n v="123300"/>
    <n v="9864"/>
    <n v="8014.5"/>
    <n v="18495"/>
    <n v="6781.5"/>
    <n v="12330"/>
    <n v="12330"/>
    <n v="10480.5"/>
    <n v="8014.5"/>
    <n v="9247.5"/>
    <n v="9864"/>
    <n v="7398"/>
    <n v="10480.5"/>
  </r>
  <r>
    <x v="3"/>
    <s v="RIYADH"/>
    <x v="2"/>
    <s v="FACES - GRANADA MALL - RIYADH"/>
    <n v="123300"/>
    <n v="9864"/>
    <n v="8014.5"/>
    <n v="18495"/>
    <n v="6781.5"/>
    <n v="12330"/>
    <n v="12330"/>
    <n v="10480.5"/>
    <n v="8014.5"/>
    <n v="9247.5"/>
    <n v="9864"/>
    <n v="7398"/>
    <n v="10480.5"/>
  </r>
  <r>
    <x v="3"/>
    <s v="RIYADH"/>
    <x v="2"/>
    <s v="FACES - RIYADH PARK - RIYADH"/>
    <n v="123300"/>
    <n v="9864"/>
    <n v="8014.5"/>
    <n v="18495"/>
    <n v="6781.5"/>
    <n v="12330"/>
    <n v="12330"/>
    <n v="10480.5"/>
    <n v="8014.5"/>
    <n v="9247.5"/>
    <n v="9864"/>
    <n v="7398"/>
    <n v="10480.5"/>
  </r>
  <r>
    <x v="3"/>
    <s v="DAMMAM"/>
    <x v="2"/>
    <s v="FACES - NAKHEEL MALL - DAMMAM"/>
    <n v="123300"/>
    <n v="9864"/>
    <n v="8014.5"/>
    <n v="18495"/>
    <n v="6781.5"/>
    <n v="12330"/>
    <n v="12330"/>
    <n v="10480.5"/>
    <n v="8014.5"/>
    <n v="9247.5"/>
    <n v="9864"/>
    <n v="7398"/>
    <n v="10480.5"/>
  </r>
  <r>
    <x v="0"/>
    <s v="JEDDAH"/>
    <x v="2"/>
    <s v="RUBAIYAT JEDDAH"/>
    <n v="153878.39999999999"/>
    <n v="12310.272000000001"/>
    <n v="10002.096"/>
    <n v="23081.760000000002"/>
    <n v="8463.3120000000017"/>
    <n v="15387.84"/>
    <n v="15387.84"/>
    <n v="13079.664000000001"/>
    <n v="10002.096"/>
    <n v="11540.880000000001"/>
    <n v="12310.272000000001"/>
    <n v="9232.7040000000015"/>
    <n v="13079.664000000001"/>
  </r>
  <r>
    <x v="1"/>
    <s v="JEDDAH"/>
    <x v="2"/>
    <s v="BEAUTI REDSEA MALL"/>
    <n v="176318.99999999994"/>
    <n v="14105.52"/>
    <n v="11460.735000000001"/>
    <n v="26447.85"/>
    <n v="9697.5450000000019"/>
    <n v="17631.900000000001"/>
    <n v="17631.900000000001"/>
    <n v="14987.115000000002"/>
    <n v="11460.735000000001"/>
    <n v="13223.924999999999"/>
    <n v="14105.52"/>
    <n v="10579.14"/>
    <n v="14987.115000000002"/>
  </r>
  <r>
    <x v="2"/>
    <s v="RIYADH"/>
    <x v="2"/>
    <s v="LAROMUAS RIYADH"/>
    <n v="176318.99999999994"/>
    <n v="14105.52"/>
    <n v="11460.735000000001"/>
    <n v="26447.85"/>
    <n v="9697.5450000000019"/>
    <n v="17631.900000000001"/>
    <n v="17631.900000000001"/>
    <n v="14987.115000000002"/>
    <n v="11460.735000000001"/>
    <n v="13223.924999999999"/>
    <n v="14105.52"/>
    <n v="10579.14"/>
    <n v="14987.115000000002"/>
  </r>
  <r>
    <x v="4"/>
    <s v="JEDDAH"/>
    <x v="2"/>
    <s v="GOLD APPLE REDSEA MALL"/>
    <n v="172620.00000000003"/>
    <n v="13809.6"/>
    <n v="11220.300000000001"/>
    <n v="25893"/>
    <n v="9494.1"/>
    <n v="17262"/>
    <n v="17262"/>
    <n v="14672.7"/>
    <n v="11220.300000000001"/>
    <n v="12946.5"/>
    <n v="13809.6"/>
    <n v="10357.199999999999"/>
    <n v="14672.7"/>
  </r>
  <r>
    <x v="4"/>
    <s v="RIYADH"/>
    <x v="2"/>
    <s v="GOLD APPLE RIYADH PARK"/>
    <n v="172620.00000000003"/>
    <n v="13809.6"/>
    <n v="11220.300000000001"/>
    <n v="25893"/>
    <n v="9494.1"/>
    <n v="17262"/>
    <n v="17262"/>
    <n v="14672.7"/>
    <n v="11220.300000000001"/>
    <n v="12946.5"/>
    <n v="13809.6"/>
    <n v="10357.199999999999"/>
    <n v="14672.7"/>
  </r>
  <r>
    <x v="10"/>
    <s v="JEDDAH"/>
    <x v="2"/>
    <s v="THE VISITOR JED"/>
    <n v="351827.99999999994"/>
    <n v="28146.239999999998"/>
    <n v="22868.819999999996"/>
    <n v="52774.2"/>
    <n v="19350.539999999997"/>
    <n v="35182.799999999996"/>
    <n v="35182.799999999996"/>
    <n v="29905.379999999997"/>
    <n v="22868.819999999996"/>
    <n v="26387.1"/>
    <n v="28146.239999999998"/>
    <n v="21109.68"/>
    <n v="29905.379999999997"/>
  </r>
  <r>
    <x v="6"/>
    <s v="MAKKAH"/>
    <x v="2"/>
    <s v="SENSI MAKKAH ABRAJ"/>
    <n v="184950"/>
    <n v="14796"/>
    <n v="12021.749999999998"/>
    <n v="27742.5"/>
    <n v="10172.249999999998"/>
    <n v="18494.999999999996"/>
    <n v="18494.999999999996"/>
    <n v="15720.75"/>
    <n v="12021.749999999998"/>
    <n v="13871.25"/>
    <n v="14796"/>
    <n v="11096.999999999998"/>
    <n v="15720.75"/>
  </r>
  <r>
    <x v="8"/>
    <s v="JEDDAH"/>
    <x v="2"/>
    <s v="ELITE"/>
    <n v="124286.39999999997"/>
    <n v="9942.9119999999984"/>
    <n v="8078.6159999999991"/>
    <n v="18642.96"/>
    <n v="6835.7519999999995"/>
    <n v="12428.64"/>
    <n v="12428.64"/>
    <n v="10564.344000000001"/>
    <n v="8078.6159999999991"/>
    <n v="9321.48"/>
    <n v="9942.9119999999984"/>
    <n v="7457.1840000000002"/>
    <n v="10564.344000000001"/>
  </r>
  <r>
    <x v="7"/>
    <s v="RIYADH"/>
    <x v="2"/>
    <s v="GOLDN SCENT ONLINE"/>
    <n v="144671.99999999997"/>
    <n v="11573.76"/>
    <n v="9403.68"/>
    <n v="21700.799999999999"/>
    <n v="7956.96"/>
    <n v="14467.199999999999"/>
    <n v="14467.199999999999"/>
    <n v="12297.12"/>
    <n v="9403.68"/>
    <n v="10850.4"/>
    <n v="11573.76"/>
    <n v="8680.32"/>
    <n v="12297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JEDDAH"/>
    <x v="0"/>
    <s v="RUBAIYAT JEDDAH"/>
    <n v="456000"/>
    <n v="36480"/>
    <n v="29640"/>
    <n v="68400"/>
    <n v="25080"/>
    <n v="45600"/>
    <n v="45600"/>
    <n v="38760"/>
    <n v="29640"/>
    <n v="34200"/>
    <n v="36480"/>
    <n v="27360"/>
    <n v="38760"/>
  </r>
  <r>
    <x v="1"/>
    <s v="JEDDAH"/>
    <x v="0"/>
    <s v="BEAUTI REDSEA MALL"/>
    <n v="228000"/>
    <n v="18240"/>
    <n v="14820"/>
    <n v="34200"/>
    <n v="12540"/>
    <n v="22800"/>
    <n v="22800"/>
    <n v="19380"/>
    <n v="14820"/>
    <n v="17100"/>
    <n v="18240"/>
    <n v="13680"/>
    <n v="19380"/>
  </r>
  <r>
    <x v="2"/>
    <s v="RIYADH"/>
    <x v="0"/>
    <s v="LAROMUAS RIYADH"/>
    <n v="228000"/>
    <n v="18240"/>
    <n v="14820"/>
    <n v="34200"/>
    <n v="12540"/>
    <n v="22800"/>
    <n v="22800"/>
    <n v="19380"/>
    <n v="14820"/>
    <n v="17100"/>
    <n v="18240"/>
    <n v="13680"/>
    <n v="19380"/>
  </r>
  <r>
    <x v="3"/>
    <s v="RIYADH"/>
    <x v="1"/>
    <s v="FACES - NAKHEEL MALL - RIYADH"/>
    <n v="134550"/>
    <n v="10764"/>
    <n v="8745.75"/>
    <n v="20182.5"/>
    <n v="7400.25"/>
    <n v="13455"/>
    <n v="13455"/>
    <n v="11436.75"/>
    <n v="8745.75"/>
    <n v="10091.25"/>
    <n v="10764"/>
    <n v="8073"/>
    <n v="11436.75"/>
  </r>
  <r>
    <x v="3"/>
    <s v="RIYADH"/>
    <x v="1"/>
    <s v="FACES - GRANADA MALL - RIYADH"/>
    <n v="134550"/>
    <n v="10764"/>
    <n v="8745.75"/>
    <n v="20182.5"/>
    <n v="7400.25"/>
    <n v="13455"/>
    <n v="13455"/>
    <n v="11436.75"/>
    <n v="8745.75"/>
    <n v="10091.25"/>
    <n v="10764"/>
    <n v="8073"/>
    <n v="11436.75"/>
  </r>
  <r>
    <x v="3"/>
    <s v="RIYADH"/>
    <x v="1"/>
    <s v="FACES - RIYADH PARK - RIYADH"/>
    <n v="134550"/>
    <n v="10764"/>
    <n v="8745.75"/>
    <n v="20182.5"/>
    <n v="7400.25"/>
    <n v="13455"/>
    <n v="13455"/>
    <n v="11436.75"/>
    <n v="8745.75"/>
    <n v="10091.25"/>
    <n v="10764"/>
    <n v="8073"/>
    <n v="11436.75"/>
  </r>
  <r>
    <x v="3"/>
    <s v="DAMMAM"/>
    <x v="1"/>
    <s v="FACES - NAKHEEL MALL - DAMMAM"/>
    <n v="134550"/>
    <n v="10764"/>
    <n v="8745.75"/>
    <n v="20182.5"/>
    <n v="7400.25"/>
    <n v="13455"/>
    <n v="13455"/>
    <n v="11436.75"/>
    <n v="8745.75"/>
    <n v="10091.25"/>
    <n v="10764"/>
    <n v="8073"/>
    <n v="11436.75"/>
  </r>
  <r>
    <x v="0"/>
    <s v="JEDDAH"/>
    <x v="1"/>
    <s v="RUBAIYAT JEDDAH"/>
    <n v="179400"/>
    <n v="14352"/>
    <n v="11661"/>
    <n v="26910"/>
    <n v="9867"/>
    <n v="17940"/>
    <n v="17940"/>
    <n v="15249.000000000002"/>
    <n v="11661"/>
    <n v="13455"/>
    <n v="14352"/>
    <n v="10764"/>
    <n v="15249.000000000002"/>
  </r>
  <r>
    <x v="1"/>
    <s v="JEDDAH"/>
    <x v="1"/>
    <s v="BEAUTI REDSEA MALL"/>
    <n v="239200"/>
    <n v="19136"/>
    <n v="15548"/>
    <n v="35880"/>
    <n v="13156"/>
    <n v="23920"/>
    <n v="23920"/>
    <n v="20332"/>
    <n v="15548"/>
    <n v="17940"/>
    <n v="19136"/>
    <n v="14352"/>
    <n v="20332"/>
  </r>
  <r>
    <x v="2"/>
    <s v="RIYADH"/>
    <x v="1"/>
    <s v="LAROMUAS RIYADH"/>
    <n v="239200"/>
    <n v="19136"/>
    <n v="15548"/>
    <n v="35880"/>
    <n v="13156"/>
    <n v="23920"/>
    <n v="23920"/>
    <n v="20332"/>
    <n v="15548"/>
    <n v="17940"/>
    <n v="19136"/>
    <n v="14352"/>
    <n v="20332"/>
  </r>
  <r>
    <x v="4"/>
    <s v="JEDDAH"/>
    <x v="1"/>
    <s v="GOLD APPLE REDSEA MALL"/>
    <n v="197340"/>
    <n v="15787.2"/>
    <n v="12827.1"/>
    <n v="29601"/>
    <n v="10853.7"/>
    <n v="19734"/>
    <n v="19734"/>
    <n v="16773.900000000001"/>
    <n v="12827.1"/>
    <n v="14800.5"/>
    <n v="15787.2"/>
    <n v="11840.4"/>
    <n v="16773.900000000001"/>
  </r>
  <r>
    <x v="4"/>
    <s v="JEDDAH"/>
    <x v="1"/>
    <s v="GOLD APPLE RIYADH PARK"/>
    <n v="131559.99999999991"/>
    <n v="0"/>
    <n v="0"/>
    <n v="0"/>
    <n v="0"/>
    <n v="18911.749999999989"/>
    <n v="18911.749999999989"/>
    <n v="16938.349999999991"/>
    <n v="14307.149999999992"/>
    <n v="15622.749999999991"/>
    <n v="16280.54999999999"/>
    <n v="13649.349999999991"/>
    <n v="16938.349999999991"/>
  </r>
  <r>
    <x v="5"/>
    <s v="RIYADH"/>
    <x v="1"/>
    <s v="LOR - CENTRIA - RIYADH"/>
    <n v="224250"/>
    <n v="17940"/>
    <n v="14576.25"/>
    <n v="33637.5"/>
    <n v="12333.75"/>
    <n v="22425"/>
    <n v="22425"/>
    <n v="19061.25"/>
    <n v="14576.25"/>
    <n v="16818.75"/>
    <n v="17940"/>
    <n v="13455"/>
    <n v="19061.25"/>
  </r>
  <r>
    <x v="5"/>
    <s v="RIYADH"/>
    <x v="1"/>
    <s v="LOR - PANORAMA - RIYADH"/>
    <n v="224250"/>
    <n v="17940"/>
    <n v="14576.25"/>
    <n v="33637.5"/>
    <n v="12333.75"/>
    <n v="22425"/>
    <n v="22425"/>
    <n v="19061.25"/>
    <n v="14576.25"/>
    <n v="16818.75"/>
    <n v="17940"/>
    <n v="13455"/>
    <n v="19061.25"/>
  </r>
  <r>
    <x v="6"/>
    <s v="MAKKAH"/>
    <x v="1"/>
    <s v="SENSI MAKKAH ABRAJ"/>
    <n v="209299.99999999994"/>
    <m/>
    <m/>
    <m/>
    <m/>
    <n v="30086.874999999989"/>
    <n v="30086.874999999989"/>
    <n v="26947.374999999993"/>
    <n v="22761.374999999989"/>
    <n v="24854.374999999989"/>
    <n v="25900.874999999989"/>
    <n v="21714.874999999989"/>
    <n v="26947.374999999993"/>
  </r>
  <r>
    <x v="7"/>
    <s v="RIYADH"/>
    <x v="1"/>
    <s v="GOLDN SCENT ONLINE"/>
    <n v="0"/>
    <m/>
    <m/>
    <m/>
    <m/>
    <m/>
    <m/>
    <m/>
    <m/>
    <m/>
    <m/>
    <m/>
    <m/>
  </r>
  <r>
    <x v="8"/>
    <s v="JEDDAH"/>
    <x v="1"/>
    <s v="ELITE"/>
    <n v="0"/>
    <m/>
    <m/>
    <m/>
    <m/>
    <m/>
    <m/>
    <m/>
    <m/>
    <m/>
    <m/>
    <m/>
    <m/>
  </r>
  <r>
    <x v="9"/>
    <s v="RIYADH"/>
    <x v="1"/>
    <s v="O100 2 Location"/>
    <n v="149500"/>
    <m/>
    <m/>
    <m/>
    <m/>
    <n v="21490.625"/>
    <n v="21490.625"/>
    <n v="19248.125"/>
    <n v="16258.124999999998"/>
    <n v="17753.124999999996"/>
    <n v="18500.624999999996"/>
    <n v="15510.624999999996"/>
    <n v="19248.125"/>
  </r>
  <r>
    <x v="3"/>
    <s v="RIYADH"/>
    <x v="2"/>
    <s v="FACES - NAKHEEL MALL - RIYADH"/>
    <n v="147960"/>
    <n v="11836.800000000001"/>
    <n v="9617.4"/>
    <n v="22194"/>
    <n v="8137.8"/>
    <n v="14796"/>
    <n v="14796"/>
    <n v="12576.6"/>
    <n v="9617.4"/>
    <n v="11097"/>
    <n v="11836.800000000001"/>
    <n v="8877.6"/>
    <n v="12576.6"/>
  </r>
  <r>
    <x v="3"/>
    <s v="RIYADH"/>
    <x v="2"/>
    <s v="FACES - GRANADA MALL - RIYADH"/>
    <n v="147960"/>
    <n v="11836.800000000001"/>
    <n v="9617.4"/>
    <n v="22194"/>
    <n v="8137.8"/>
    <n v="14796"/>
    <n v="14796"/>
    <n v="12576.6"/>
    <n v="9617.4"/>
    <n v="11097"/>
    <n v="11836.800000000001"/>
    <n v="8877.6"/>
    <n v="12576.6"/>
  </r>
  <r>
    <x v="3"/>
    <s v="RIYADH"/>
    <x v="2"/>
    <s v="FACES - RIYADH PARK - RIYADH"/>
    <n v="147960"/>
    <n v="11836.800000000001"/>
    <n v="9617.4"/>
    <n v="22194"/>
    <n v="8137.8"/>
    <n v="14796"/>
    <n v="14796"/>
    <n v="12576.6"/>
    <n v="9617.4"/>
    <n v="11097"/>
    <n v="11836.800000000001"/>
    <n v="8877.6"/>
    <n v="12576.6"/>
  </r>
  <r>
    <x v="3"/>
    <s v="DAMMAM"/>
    <x v="2"/>
    <s v="FACES - NAKHEEL MALL - DAMMAM"/>
    <n v="147960"/>
    <n v="11836.800000000001"/>
    <n v="9617.4"/>
    <n v="22194"/>
    <n v="8137.8"/>
    <n v="14796"/>
    <n v="14796"/>
    <n v="12576.6"/>
    <n v="9617.4"/>
    <n v="11097"/>
    <n v="11836.800000000001"/>
    <n v="8877.6"/>
    <n v="12576.6"/>
  </r>
  <r>
    <x v="0"/>
    <s v="JEDDAH"/>
    <x v="2"/>
    <s v="RUBAIYAT JEDDAH"/>
    <n v="207143.99999999994"/>
    <n v="16571.52"/>
    <n v="13464.36"/>
    <n v="31071.599999999999"/>
    <n v="11392.92"/>
    <n v="20714.400000000001"/>
    <n v="20714.400000000001"/>
    <n v="17607.240000000002"/>
    <n v="13464.36"/>
    <n v="15535.8"/>
    <n v="16571.52"/>
    <n v="12428.64"/>
    <n v="17607.240000000002"/>
  </r>
  <r>
    <x v="1"/>
    <s v="JEDDAH"/>
    <x v="2"/>
    <s v="BEAUTI REDSEA MALL"/>
    <n v="207143.99999999994"/>
    <n v="16571.52"/>
    <n v="13464.36"/>
    <n v="31071.599999999999"/>
    <n v="11392.92"/>
    <n v="20714.400000000001"/>
    <n v="20714.400000000001"/>
    <n v="17607.240000000002"/>
    <n v="13464.36"/>
    <n v="15535.8"/>
    <n v="16571.52"/>
    <n v="12428.64"/>
    <n v="17607.240000000002"/>
  </r>
  <r>
    <x v="2"/>
    <s v="RIYADH"/>
    <x v="2"/>
    <s v="LAROMUAS RIYADH"/>
    <n v="207143.99999999994"/>
    <n v="16571.52"/>
    <n v="13464.36"/>
    <n v="31071.599999999999"/>
    <n v="11392.92"/>
    <n v="20714.400000000001"/>
    <n v="20714.400000000001"/>
    <n v="17607.240000000002"/>
    <n v="13464.36"/>
    <n v="15535.8"/>
    <n v="16571.52"/>
    <n v="12428.64"/>
    <n v="17607.240000000002"/>
  </r>
  <r>
    <x v="4"/>
    <s v="JEDDAH"/>
    <x v="2"/>
    <s v="GOLD APPLE REDSEA MALL"/>
    <n v="207143.99999999994"/>
    <n v="16571.52"/>
    <n v="13464.36"/>
    <n v="31071.599999999999"/>
    <n v="11392.92"/>
    <n v="20714.400000000001"/>
    <n v="20714.400000000001"/>
    <n v="17607.240000000002"/>
    <n v="13464.36"/>
    <n v="15535.8"/>
    <n v="16571.52"/>
    <n v="12428.64"/>
    <n v="17607.240000000002"/>
  </r>
  <r>
    <x v="4"/>
    <s v="RIYADH"/>
    <x v="2"/>
    <s v="GOLD APPLE RIYADH PARK"/>
    <n v="138096"/>
    <n v="0"/>
    <n v="0"/>
    <n v="0"/>
    <n v="0"/>
    <n v="19851.3"/>
    <n v="19851.3"/>
    <n v="17779.86"/>
    <n v="15017.939999999999"/>
    <n v="16398.899999999998"/>
    <n v="17089.379999999997"/>
    <n v="14327.459999999997"/>
    <n v="17779.86"/>
  </r>
  <r>
    <x v="10"/>
    <s v="JEDDAH"/>
    <x v="2"/>
    <s v="THE VISITOR JED"/>
    <n v="651024"/>
    <n v="52081.919999999998"/>
    <n v="42316.560000000005"/>
    <n v="97653.599999999991"/>
    <n v="35806.32"/>
    <n v="65102.400000000001"/>
    <n v="65102.400000000001"/>
    <n v="55337.04"/>
    <n v="42316.560000000005"/>
    <n v="48826.799999999996"/>
    <n v="52081.919999999998"/>
    <n v="39061.439999999995"/>
    <n v="55337.04"/>
  </r>
  <r>
    <x v="6"/>
    <s v="MAKKAH"/>
    <x v="2"/>
    <s v="SENSI MAKKAH ABRAJ"/>
    <n v="138096"/>
    <n v="0"/>
    <n v="0"/>
    <n v="0"/>
    <n v="0"/>
    <n v="19851.3"/>
    <n v="19851.3"/>
    <n v="17779.86"/>
    <n v="15017.939999999999"/>
    <n v="16398.899999999998"/>
    <n v="17089.379999999997"/>
    <n v="14327.459999999997"/>
    <n v="17779.86"/>
  </r>
  <r>
    <x v="8"/>
    <s v="JEDDAH"/>
    <x v="2"/>
    <s v="ELITE"/>
    <n v="0"/>
    <m/>
    <m/>
    <m/>
    <m/>
    <m/>
    <m/>
    <m/>
    <m/>
    <m/>
    <m/>
    <m/>
    <m/>
  </r>
  <r>
    <x v="7"/>
    <s v="RIYADH"/>
    <x v="2"/>
    <s v="GOLDN SCENT ONLINE"/>
    <n v="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7288C-F2CB-456F-B349-320B049A8B4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N16" firstHeaderRow="1" firstDataRow="2" firstDataCol="1" rowPageCount="1" colPageCount="1"/>
  <pivotFields count="17">
    <pivotField axis="axisRow" compact="0" outline="0" showAll="0">
      <items count="12">
        <item x="1"/>
        <item x="8"/>
        <item x="3"/>
        <item x="4"/>
        <item x="7"/>
        <item x="2"/>
        <item x="5"/>
        <item x="9"/>
        <item x="0"/>
        <item x="6"/>
        <item x="10"/>
        <item t="default"/>
      </items>
    </pivotField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2" hier="-1"/>
  </pageFields>
  <dataFields count="13">
    <dataField name="Sum of TTL" fld="4" baseField="0" baseItem="0"/>
    <dataField name="Sum of Jan-25" fld="5" baseField="0" baseItem="0"/>
    <dataField name="Sum of Feb-25" fld="6" baseField="0" baseItem="0"/>
    <dataField name="Sum of Mar-25" fld="7" baseField="0" baseItem="0"/>
    <dataField name="Sum of Apr-25" fld="8" baseField="0" baseItem="0"/>
    <dataField name="Sum of May-25" fld="9" baseField="0" baseItem="0"/>
    <dataField name="Sum of Jun-25" fld="10" baseField="0" baseItem="0"/>
    <dataField name="Sum of Jul-25" fld="11" baseField="0" baseItem="0"/>
    <dataField name="Sum of Aug-25" fld="12" baseField="0" baseItem="0"/>
    <dataField name="Sum of Sep-25" fld="13" baseField="0" baseItem="0"/>
    <dataField name="Sum of Oct-25" fld="14" baseField="0" baseItem="0"/>
    <dataField name="Sum of Nov-25" fld="15" baseField="0" baseItem="0"/>
    <dataField name="Sum of Dec-25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62ACC-8C3A-4CFD-9890-940A83C49CA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C30" firstHeaderRow="2" firstDataRow="2" firstDataCol="2"/>
  <pivotFields count="17">
    <pivotField axis="axisRow" compact="0" outline="0" showAll="0">
      <items count="12">
        <item x="1"/>
        <item x="3"/>
        <item x="4"/>
        <item x="2"/>
        <item x="5"/>
        <item x="0"/>
        <item x="10"/>
        <item x="6"/>
        <item x="7"/>
        <item x="8"/>
        <item x="9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0"/>
  </rowFields>
  <rowItems count="26">
    <i>
      <x/>
      <x/>
    </i>
    <i r="1">
      <x v="3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 TTL" fld="4" baseField="0" baseItem="3" numFmtId="3"/>
  </dataFields>
  <formats count="15"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dataOnly="0" outline="0" fieldPosition="0">
        <references count="1">
          <reference field="2" count="0" defaultSubtotal="1"/>
        </references>
      </pivotArea>
    </format>
    <format dxfId="10">
      <pivotArea dataOnly="0" outline="0" fieldPosition="0">
        <references count="1">
          <reference field="2" count="0" defaultSubtotal="1"/>
        </references>
      </pivotArea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field="0" type="button" dataOnly="0" labelOnly="1" outline="0" axis="axisRow" fieldPosition="1"/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2" count="0" defaultSubtotal="1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2">
          <reference field="0" count="3">
            <x v="0"/>
            <x v="3"/>
            <x v="5"/>
          </reference>
          <reference field="2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0" count="0"/>
          <reference field="2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0" count="5">
            <x v="0"/>
            <x v="1"/>
            <x v="2"/>
            <x v="3"/>
            <x v="5"/>
          </reference>
          <reference field="2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13235-4DF1-4E26-BACE-F4464E5D015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3:O60" firstHeaderRow="1" firstDataRow="2" firstDataCol="2"/>
  <pivotFields count="17">
    <pivotField axis="axisRow" compact="0" outline="0" showAll="0">
      <items count="12">
        <item x="1"/>
        <item x="3"/>
        <item x="4"/>
        <item x="2"/>
        <item x="5"/>
        <item x="0"/>
        <item x="10"/>
        <item x="6"/>
        <item x="7"/>
        <item x="8"/>
        <item x="9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</pivotFields>
  <rowFields count="2">
    <field x="2"/>
    <field x="0"/>
  </rowFields>
  <rowItems count="26">
    <i>
      <x/>
      <x/>
    </i>
    <i r="1">
      <x v="3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TTL" fld="4" baseField="0" baseItem="3" numFmtId="3"/>
    <dataField name=" Jan-25" fld="5" baseField="0" baseItem="0"/>
    <dataField name=" Feb-25" fld="6" baseField="0" baseItem="0"/>
    <dataField name=" Mar-25" fld="7" baseField="0" baseItem="0"/>
    <dataField name=" Apr-25" fld="8" baseField="0" baseItem="0"/>
    <dataField name=" May-25" fld="9" baseField="0" baseItem="0"/>
    <dataField name=" Jun-25" fld="10" baseField="0" baseItem="0"/>
    <dataField name=" Jul-25" fld="11" baseField="0" baseItem="0"/>
    <dataField name=" Aug-25" fld="12" baseField="0" baseItem="0"/>
    <dataField name=" Sep-25" fld="13" baseField="0" baseItem="0"/>
    <dataField name=" Oct-25" fld="14" baseField="0" baseItem="0"/>
    <dataField name=" Nov-25" fld="15" baseField="0" baseItem="0"/>
    <dataField name=" Dec-25" fld="16" baseField="0" baseItem="0"/>
  </dataFields>
  <formats count="15">
    <format dxfId="29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outline="0" fieldPosition="0">
        <references count="1">
          <reference field="2" count="0" defaultSubtotal="1"/>
        </references>
      </pivotArea>
    </format>
    <format dxfId="25">
      <pivotArea dataOnly="0" outline="0" fieldPosition="0">
        <references count="1">
          <reference field="2" count="0" defaultSubtotal="1"/>
        </references>
      </pivotArea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field="0" type="button" dataOnly="0" labelOnly="1" outline="0" axis="axisRow" fieldPosition="1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labelOnly="1" outline="0" fieldPosition="0">
        <references count="1">
          <reference field="2" count="0" defaultSubtotal="1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0" count="3">
            <x v="0"/>
            <x v="3"/>
            <x v="5"/>
          </reference>
          <reference field="2" count="1" selected="0">
            <x v="0"/>
          </reference>
        </references>
      </pivotArea>
    </format>
    <format dxfId="17">
      <pivotArea dataOnly="0" labelOnly="1" outline="0" fieldPosition="0">
        <references count="2">
          <reference field="0" count="0"/>
          <reference field="2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0" count="5">
            <x v="0"/>
            <x v="1"/>
            <x v="2"/>
            <x v="3"/>
            <x v="5"/>
          </reference>
          <reference field="2" count="1" selected="0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61AC-D9DF-4E5E-AC71-7F360ADCECED}">
  <dimension ref="A1:N16"/>
  <sheetViews>
    <sheetView workbookViewId="0">
      <selection activeCell="F26" sqref="F26"/>
    </sheetView>
  </sheetViews>
  <sheetFormatPr defaultRowHeight="14.25"/>
  <cols>
    <col min="1" max="1" width="11.86328125" bestFit="1" customWidth="1"/>
    <col min="2" max="2" width="9.6640625" bestFit="1" customWidth="1"/>
    <col min="3" max="3" width="12.19921875" bestFit="1" customWidth="1"/>
    <col min="4" max="4" width="12.46484375" bestFit="1" customWidth="1"/>
    <col min="5" max="5" width="12.86328125" bestFit="1" customWidth="1"/>
    <col min="6" max="6" width="12.46484375" bestFit="1" customWidth="1"/>
    <col min="7" max="7" width="13.06640625" bestFit="1" customWidth="1"/>
    <col min="8" max="8" width="12.265625" bestFit="1" customWidth="1"/>
    <col min="9" max="9" width="11.6640625" bestFit="1" customWidth="1"/>
    <col min="10" max="10" width="12.796875" bestFit="1" customWidth="1"/>
    <col min="11" max="11" width="12.46484375" bestFit="1" customWidth="1"/>
    <col min="12" max="12" width="12.265625" bestFit="1" customWidth="1"/>
    <col min="13" max="13" width="12.86328125" bestFit="1" customWidth="1"/>
    <col min="14" max="14" width="12.46484375" bestFit="1" customWidth="1"/>
  </cols>
  <sheetData>
    <row r="1" spans="1:14">
      <c r="A1" s="4" t="s">
        <v>7</v>
      </c>
      <c r="B1" t="s">
        <v>74</v>
      </c>
    </row>
    <row r="3" spans="1:14">
      <c r="B3" s="4" t="s">
        <v>15</v>
      </c>
    </row>
    <row r="4" spans="1:14">
      <c r="A4" s="4" t="s">
        <v>5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</row>
    <row r="5" spans="1:14">
      <c r="A5" t="s">
        <v>3</v>
      </c>
      <c r="B5" s="23">
        <v>459590.99999999994</v>
      </c>
      <c r="C5" s="23">
        <v>36767.279999999999</v>
      </c>
      <c r="D5" s="23">
        <v>29873.415000000001</v>
      </c>
      <c r="E5" s="23">
        <v>68938.649999999994</v>
      </c>
      <c r="F5" s="23">
        <v>25277.505000000001</v>
      </c>
      <c r="G5" s="23">
        <v>45959.1</v>
      </c>
      <c r="H5" s="23">
        <v>45959.1</v>
      </c>
      <c r="I5" s="23">
        <v>39065.235000000001</v>
      </c>
      <c r="J5" s="23">
        <v>29873.415000000001</v>
      </c>
      <c r="K5" s="23">
        <v>34469.324999999997</v>
      </c>
      <c r="L5" s="23">
        <v>36767.279999999999</v>
      </c>
      <c r="M5" s="23">
        <v>27575.46</v>
      </c>
      <c r="N5" s="23">
        <v>39065.235000000001</v>
      </c>
    </row>
    <row r="6" spans="1:14">
      <c r="A6" t="s">
        <v>55</v>
      </c>
      <c r="B6" s="23">
        <v>251386.39999999997</v>
      </c>
      <c r="C6" s="23">
        <v>20110.911999999997</v>
      </c>
      <c r="D6" s="23">
        <v>16340.115999999998</v>
      </c>
      <c r="E6" s="23">
        <v>37707.96</v>
      </c>
      <c r="F6" s="23">
        <v>13826.252</v>
      </c>
      <c r="G6" s="23">
        <v>25138.639999999999</v>
      </c>
      <c r="H6" s="23">
        <v>25138.639999999999</v>
      </c>
      <c r="I6" s="23">
        <v>21367.844000000001</v>
      </c>
      <c r="J6" s="23">
        <v>16340.115999999998</v>
      </c>
      <c r="K6" s="23">
        <v>18853.98</v>
      </c>
      <c r="L6" s="23">
        <v>20110.911999999997</v>
      </c>
      <c r="M6" s="23">
        <v>15083.184000000001</v>
      </c>
      <c r="N6" s="23">
        <v>21367.844000000001</v>
      </c>
    </row>
    <row r="7" spans="1:14">
      <c r="A7" t="s">
        <v>2</v>
      </c>
      <c r="B7" s="23">
        <v>995520</v>
      </c>
      <c r="C7" s="23">
        <v>79641.600000000006</v>
      </c>
      <c r="D7" s="23">
        <v>64708.800000000003</v>
      </c>
      <c r="E7" s="23">
        <v>149328</v>
      </c>
      <c r="F7" s="23">
        <v>54753.599999999999</v>
      </c>
      <c r="G7" s="23">
        <v>99552</v>
      </c>
      <c r="H7" s="23">
        <v>99552</v>
      </c>
      <c r="I7" s="23">
        <v>84619.200000000012</v>
      </c>
      <c r="J7" s="23">
        <v>64708.800000000003</v>
      </c>
      <c r="K7" s="23">
        <v>74664</v>
      </c>
      <c r="L7" s="23">
        <v>79641.600000000006</v>
      </c>
      <c r="M7" s="23">
        <v>59731.199999999997</v>
      </c>
      <c r="N7" s="23">
        <v>84619.200000000012</v>
      </c>
    </row>
    <row r="8" spans="1:14">
      <c r="A8" t="s">
        <v>10</v>
      </c>
      <c r="B8" s="23">
        <v>599390</v>
      </c>
      <c r="C8" s="23">
        <v>47951.199999999997</v>
      </c>
      <c r="D8" s="23">
        <v>38960.350000000006</v>
      </c>
      <c r="E8" s="23">
        <v>89908.5</v>
      </c>
      <c r="F8" s="23">
        <v>32966.449999999997</v>
      </c>
      <c r="G8" s="23">
        <v>59939</v>
      </c>
      <c r="H8" s="23">
        <v>59939</v>
      </c>
      <c r="I8" s="23">
        <v>50948.149999999994</v>
      </c>
      <c r="J8" s="23">
        <v>38960.350000000006</v>
      </c>
      <c r="K8" s="23">
        <v>44954.25</v>
      </c>
      <c r="L8" s="23">
        <v>47951.199999999997</v>
      </c>
      <c r="M8" s="23">
        <v>35963.399999999994</v>
      </c>
      <c r="N8" s="23">
        <v>50948.149999999994</v>
      </c>
    </row>
    <row r="9" spans="1:14">
      <c r="A9" t="s">
        <v>56</v>
      </c>
      <c r="B9" s="23">
        <v>264272</v>
      </c>
      <c r="C9" s="23">
        <v>21141.760000000002</v>
      </c>
      <c r="D9" s="23">
        <v>17177.68</v>
      </c>
      <c r="E9" s="23">
        <v>39640.800000000003</v>
      </c>
      <c r="F9" s="23">
        <v>14534.96</v>
      </c>
      <c r="G9" s="23">
        <v>26427.199999999997</v>
      </c>
      <c r="H9" s="23">
        <v>26427.199999999997</v>
      </c>
      <c r="I9" s="23">
        <v>22463.120000000003</v>
      </c>
      <c r="J9" s="23">
        <v>17177.68</v>
      </c>
      <c r="K9" s="23">
        <v>19820.400000000001</v>
      </c>
      <c r="L9" s="23">
        <v>21141.760000000002</v>
      </c>
      <c r="M9" s="23">
        <v>15856.32</v>
      </c>
      <c r="N9" s="23">
        <v>22463.120000000003</v>
      </c>
    </row>
    <row r="10" spans="1:14">
      <c r="A10" t="s">
        <v>4</v>
      </c>
      <c r="B10" s="23">
        <v>466168.99999999994</v>
      </c>
      <c r="C10" s="23">
        <v>37293.520000000004</v>
      </c>
      <c r="D10" s="23">
        <v>30300.985000000001</v>
      </c>
      <c r="E10" s="23">
        <v>69925.350000000006</v>
      </c>
      <c r="F10" s="23">
        <v>25639.295000000002</v>
      </c>
      <c r="G10" s="23">
        <v>46616.9</v>
      </c>
      <c r="H10" s="23">
        <v>46616.9</v>
      </c>
      <c r="I10" s="23">
        <v>39624.365000000005</v>
      </c>
      <c r="J10" s="23">
        <v>30300.985000000001</v>
      </c>
      <c r="K10" s="23">
        <v>34962.675000000003</v>
      </c>
      <c r="L10" s="23">
        <v>37293.520000000004</v>
      </c>
      <c r="M10" s="23">
        <v>27970.14</v>
      </c>
      <c r="N10" s="23">
        <v>39624.365000000005</v>
      </c>
    </row>
    <row r="11" spans="1:14">
      <c r="A11" t="s">
        <v>9</v>
      </c>
      <c r="B11" s="23">
        <v>448500</v>
      </c>
      <c r="C11" s="23">
        <v>35880</v>
      </c>
      <c r="D11" s="23">
        <v>29152.5</v>
      </c>
      <c r="E11" s="23">
        <v>67275</v>
      </c>
      <c r="F11" s="23">
        <v>24667.5</v>
      </c>
      <c r="G11" s="23">
        <v>44850</v>
      </c>
      <c r="H11" s="23">
        <v>44850</v>
      </c>
      <c r="I11" s="23">
        <v>38122.5</v>
      </c>
      <c r="J11" s="23">
        <v>29152.5</v>
      </c>
      <c r="K11" s="23">
        <v>33637.5</v>
      </c>
      <c r="L11" s="23">
        <v>35880</v>
      </c>
      <c r="M11" s="23">
        <v>26910</v>
      </c>
      <c r="N11" s="23">
        <v>38122.5</v>
      </c>
    </row>
    <row r="12" spans="1:14">
      <c r="A12" t="s">
        <v>59</v>
      </c>
      <c r="B12" s="23">
        <v>191360</v>
      </c>
      <c r="C12" s="23">
        <v>15308.800000000001</v>
      </c>
      <c r="D12" s="23">
        <v>12438.4</v>
      </c>
      <c r="E12" s="23">
        <v>28704</v>
      </c>
      <c r="F12" s="23">
        <v>10524.8</v>
      </c>
      <c r="G12" s="23">
        <v>19136</v>
      </c>
      <c r="H12" s="23">
        <v>19136</v>
      </c>
      <c r="I12" s="23">
        <v>16265.6</v>
      </c>
      <c r="J12" s="23">
        <v>12438.4</v>
      </c>
      <c r="K12" s="23">
        <v>14352</v>
      </c>
      <c r="L12" s="23">
        <v>15308.800000000001</v>
      </c>
      <c r="M12" s="23">
        <v>11481.6</v>
      </c>
      <c r="N12" s="23">
        <v>16265.6</v>
      </c>
    </row>
    <row r="13" spans="1:14">
      <c r="A13" t="s">
        <v>6</v>
      </c>
      <c r="B13" s="23">
        <v>530930.4</v>
      </c>
      <c r="C13" s="23">
        <v>42474.432000000001</v>
      </c>
      <c r="D13" s="23">
        <v>34510.476000000002</v>
      </c>
      <c r="E13" s="23">
        <v>79639.56</v>
      </c>
      <c r="F13" s="23">
        <v>29201.172000000002</v>
      </c>
      <c r="G13" s="23">
        <v>53093.039999999994</v>
      </c>
      <c r="H13" s="23">
        <v>53093.039999999994</v>
      </c>
      <c r="I13" s="23">
        <v>45129.084000000003</v>
      </c>
      <c r="J13" s="23">
        <v>34510.476000000002</v>
      </c>
      <c r="K13" s="23">
        <v>39819.78</v>
      </c>
      <c r="L13" s="23">
        <v>42474.432000000001</v>
      </c>
      <c r="M13" s="23">
        <v>31855.824000000004</v>
      </c>
      <c r="N13" s="23">
        <v>45129.084000000003</v>
      </c>
    </row>
    <row r="14" spans="1:14">
      <c r="A14" t="s">
        <v>57</v>
      </c>
      <c r="B14" s="23">
        <v>346410</v>
      </c>
      <c r="C14" s="23">
        <v>27712.799999999999</v>
      </c>
      <c r="D14" s="23">
        <v>22516.649999999998</v>
      </c>
      <c r="E14" s="23">
        <v>51961.5</v>
      </c>
      <c r="F14" s="23">
        <v>19052.549999999996</v>
      </c>
      <c r="G14" s="23">
        <v>34641</v>
      </c>
      <c r="H14" s="23">
        <v>34641</v>
      </c>
      <c r="I14" s="23">
        <v>29444.85</v>
      </c>
      <c r="J14" s="23">
        <v>22516.649999999998</v>
      </c>
      <c r="K14" s="23">
        <v>25980.75</v>
      </c>
      <c r="L14" s="23">
        <v>27712.799999999999</v>
      </c>
      <c r="M14" s="23">
        <v>20784.599999999999</v>
      </c>
      <c r="N14" s="23">
        <v>29444.85</v>
      </c>
    </row>
    <row r="15" spans="1:14">
      <c r="A15" t="s">
        <v>32</v>
      </c>
      <c r="B15" s="23">
        <v>351827.99999999994</v>
      </c>
      <c r="C15" s="23">
        <v>28146.239999999998</v>
      </c>
      <c r="D15" s="23">
        <v>22868.819999999996</v>
      </c>
      <c r="E15" s="23">
        <v>52774.2</v>
      </c>
      <c r="F15" s="23">
        <v>19350.539999999997</v>
      </c>
      <c r="G15" s="23">
        <v>35182.799999999996</v>
      </c>
      <c r="H15" s="23">
        <v>35182.799999999996</v>
      </c>
      <c r="I15" s="23">
        <v>29905.379999999997</v>
      </c>
      <c r="J15" s="23">
        <v>22868.819999999996</v>
      </c>
      <c r="K15" s="23">
        <v>26387.1</v>
      </c>
      <c r="L15" s="23">
        <v>28146.239999999998</v>
      </c>
      <c r="M15" s="23">
        <v>21109.68</v>
      </c>
      <c r="N15" s="23">
        <v>29905.379999999997</v>
      </c>
    </row>
    <row r="16" spans="1:14">
      <c r="A16" t="s">
        <v>0</v>
      </c>
      <c r="B16" s="23">
        <v>4905356.8</v>
      </c>
      <c r="C16" s="23">
        <v>392428.54400000005</v>
      </c>
      <c r="D16" s="23">
        <v>318848.19200000004</v>
      </c>
      <c r="E16" s="23">
        <v>735803.52</v>
      </c>
      <c r="F16" s="23">
        <v>269794.62399999995</v>
      </c>
      <c r="G16" s="23">
        <v>490535.67999999999</v>
      </c>
      <c r="H16" s="23">
        <v>490535.67999999999</v>
      </c>
      <c r="I16" s="23">
        <v>416955.32799999998</v>
      </c>
      <c r="J16" s="23">
        <v>318848.19200000004</v>
      </c>
      <c r="K16" s="23">
        <v>367901.76</v>
      </c>
      <c r="L16" s="23">
        <v>392428.54400000005</v>
      </c>
      <c r="M16" s="23">
        <v>294321.408</v>
      </c>
      <c r="N16" s="23">
        <v>416955.32799999998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AF54-E661-4372-9999-7A23A21A1BD0}">
  <sheetPr>
    <tabColor theme="1"/>
  </sheetPr>
  <dimension ref="A1:H34"/>
  <sheetViews>
    <sheetView zoomScale="70" zoomScaleNormal="70" zoomScaleSheetLayoutView="98" workbookViewId="0">
      <selection activeCell="H11" sqref="H11"/>
    </sheetView>
  </sheetViews>
  <sheetFormatPr defaultColWidth="11.46484375" defaultRowHeight="14.25"/>
  <cols>
    <col min="1" max="1" width="9.19921875" style="35" customWidth="1"/>
    <col min="2" max="2" width="18.46484375" customWidth="1"/>
    <col min="3" max="3" width="40.3984375" customWidth="1"/>
    <col min="4" max="4" width="31.796875" customWidth="1"/>
    <col min="5" max="5" width="21.6640625" customWidth="1"/>
    <col min="6" max="6" width="2.46484375" customWidth="1"/>
    <col min="251" max="252" width="9.19921875" customWidth="1"/>
    <col min="253" max="253" width="26.46484375" bestFit="1" customWidth="1"/>
    <col min="507" max="508" width="9.19921875" customWidth="1"/>
    <col min="509" max="509" width="26.46484375" bestFit="1" customWidth="1"/>
    <col min="763" max="764" width="9.19921875" customWidth="1"/>
    <col min="765" max="765" width="26.46484375" bestFit="1" customWidth="1"/>
    <col min="1019" max="1020" width="9.19921875" customWidth="1"/>
    <col min="1021" max="1021" width="26.46484375" bestFit="1" customWidth="1"/>
    <col min="1275" max="1276" width="9.19921875" customWidth="1"/>
    <col min="1277" max="1277" width="26.46484375" bestFit="1" customWidth="1"/>
    <col min="1531" max="1532" width="9.19921875" customWidth="1"/>
    <col min="1533" max="1533" width="26.46484375" bestFit="1" customWidth="1"/>
    <col min="1787" max="1788" width="9.19921875" customWidth="1"/>
    <col min="1789" max="1789" width="26.46484375" bestFit="1" customWidth="1"/>
    <col min="2043" max="2044" width="9.19921875" customWidth="1"/>
    <col min="2045" max="2045" width="26.46484375" bestFit="1" customWidth="1"/>
    <col min="2299" max="2300" width="9.19921875" customWidth="1"/>
    <col min="2301" max="2301" width="26.46484375" bestFit="1" customWidth="1"/>
    <col min="2555" max="2556" width="9.19921875" customWidth="1"/>
    <col min="2557" max="2557" width="26.46484375" bestFit="1" customWidth="1"/>
    <col min="2811" max="2812" width="9.19921875" customWidth="1"/>
    <col min="2813" max="2813" width="26.46484375" bestFit="1" customWidth="1"/>
    <col min="3067" max="3068" width="9.19921875" customWidth="1"/>
    <col min="3069" max="3069" width="26.46484375" bestFit="1" customWidth="1"/>
    <col min="3323" max="3324" width="9.19921875" customWidth="1"/>
    <col min="3325" max="3325" width="26.46484375" bestFit="1" customWidth="1"/>
    <col min="3579" max="3580" width="9.19921875" customWidth="1"/>
    <col min="3581" max="3581" width="26.46484375" bestFit="1" customWidth="1"/>
    <col min="3835" max="3836" width="9.19921875" customWidth="1"/>
    <col min="3837" max="3837" width="26.46484375" bestFit="1" customWidth="1"/>
    <col min="4091" max="4092" width="9.19921875" customWidth="1"/>
    <col min="4093" max="4093" width="26.46484375" bestFit="1" customWidth="1"/>
    <col min="4347" max="4348" width="9.19921875" customWidth="1"/>
    <col min="4349" max="4349" width="26.46484375" bestFit="1" customWidth="1"/>
    <col min="4603" max="4604" width="9.19921875" customWidth="1"/>
    <col min="4605" max="4605" width="26.46484375" bestFit="1" customWidth="1"/>
    <col min="4859" max="4860" width="9.19921875" customWidth="1"/>
    <col min="4861" max="4861" width="26.46484375" bestFit="1" customWidth="1"/>
    <col min="5115" max="5116" width="9.19921875" customWidth="1"/>
    <col min="5117" max="5117" width="26.46484375" bestFit="1" customWidth="1"/>
    <col min="5371" max="5372" width="9.19921875" customWidth="1"/>
    <col min="5373" max="5373" width="26.46484375" bestFit="1" customWidth="1"/>
    <col min="5627" max="5628" width="9.19921875" customWidth="1"/>
    <col min="5629" max="5629" width="26.46484375" bestFit="1" customWidth="1"/>
    <col min="5883" max="5884" width="9.19921875" customWidth="1"/>
    <col min="5885" max="5885" width="26.46484375" bestFit="1" customWidth="1"/>
    <col min="6139" max="6140" width="9.19921875" customWidth="1"/>
    <col min="6141" max="6141" width="26.46484375" bestFit="1" customWidth="1"/>
    <col min="6395" max="6396" width="9.19921875" customWidth="1"/>
    <col min="6397" max="6397" width="26.46484375" bestFit="1" customWidth="1"/>
    <col min="6651" max="6652" width="9.19921875" customWidth="1"/>
    <col min="6653" max="6653" width="26.46484375" bestFit="1" customWidth="1"/>
    <col min="6907" max="6908" width="9.19921875" customWidth="1"/>
    <col min="6909" max="6909" width="26.46484375" bestFit="1" customWidth="1"/>
    <col min="7163" max="7164" width="9.19921875" customWidth="1"/>
    <col min="7165" max="7165" width="26.46484375" bestFit="1" customWidth="1"/>
    <col min="7419" max="7420" width="9.19921875" customWidth="1"/>
    <col min="7421" max="7421" width="26.46484375" bestFit="1" customWidth="1"/>
    <col min="7675" max="7676" width="9.19921875" customWidth="1"/>
    <col min="7677" max="7677" width="26.46484375" bestFit="1" customWidth="1"/>
    <col min="7931" max="7932" width="9.19921875" customWidth="1"/>
    <col min="7933" max="7933" width="26.46484375" bestFit="1" customWidth="1"/>
    <col min="8187" max="8188" width="9.19921875" customWidth="1"/>
    <col min="8189" max="8189" width="26.46484375" bestFit="1" customWidth="1"/>
    <col min="8443" max="8444" width="9.19921875" customWidth="1"/>
    <col min="8445" max="8445" width="26.46484375" bestFit="1" customWidth="1"/>
    <col min="8699" max="8700" width="9.19921875" customWidth="1"/>
    <col min="8701" max="8701" width="26.46484375" bestFit="1" customWidth="1"/>
    <col min="8955" max="8956" width="9.19921875" customWidth="1"/>
    <col min="8957" max="8957" width="26.46484375" bestFit="1" customWidth="1"/>
    <col min="9211" max="9212" width="9.19921875" customWidth="1"/>
    <col min="9213" max="9213" width="26.46484375" bestFit="1" customWidth="1"/>
    <col min="9467" max="9468" width="9.19921875" customWidth="1"/>
    <col min="9469" max="9469" width="26.46484375" bestFit="1" customWidth="1"/>
    <col min="9723" max="9724" width="9.19921875" customWidth="1"/>
    <col min="9725" max="9725" width="26.46484375" bestFit="1" customWidth="1"/>
    <col min="9979" max="9980" width="9.19921875" customWidth="1"/>
    <col min="9981" max="9981" width="26.46484375" bestFit="1" customWidth="1"/>
    <col min="10235" max="10236" width="9.19921875" customWidth="1"/>
    <col min="10237" max="10237" width="26.46484375" bestFit="1" customWidth="1"/>
    <col min="10491" max="10492" width="9.19921875" customWidth="1"/>
    <col min="10493" max="10493" width="26.46484375" bestFit="1" customWidth="1"/>
    <col min="10747" max="10748" width="9.19921875" customWidth="1"/>
    <col min="10749" max="10749" width="26.46484375" bestFit="1" customWidth="1"/>
    <col min="11003" max="11004" width="9.19921875" customWidth="1"/>
    <col min="11005" max="11005" width="26.46484375" bestFit="1" customWidth="1"/>
    <col min="11259" max="11260" width="9.19921875" customWidth="1"/>
    <col min="11261" max="11261" width="26.46484375" bestFit="1" customWidth="1"/>
    <col min="11515" max="11516" width="9.19921875" customWidth="1"/>
    <col min="11517" max="11517" width="26.46484375" bestFit="1" customWidth="1"/>
    <col min="11771" max="11772" width="9.19921875" customWidth="1"/>
    <col min="11773" max="11773" width="26.46484375" bestFit="1" customWidth="1"/>
    <col min="12027" max="12028" width="9.19921875" customWidth="1"/>
    <col min="12029" max="12029" width="26.46484375" bestFit="1" customWidth="1"/>
    <col min="12283" max="12284" width="9.19921875" customWidth="1"/>
    <col min="12285" max="12285" width="26.46484375" bestFit="1" customWidth="1"/>
    <col min="12539" max="12540" width="9.19921875" customWidth="1"/>
    <col min="12541" max="12541" width="26.46484375" bestFit="1" customWidth="1"/>
    <col min="12795" max="12796" width="9.19921875" customWidth="1"/>
    <col min="12797" max="12797" width="26.46484375" bestFit="1" customWidth="1"/>
    <col min="13051" max="13052" width="9.19921875" customWidth="1"/>
    <col min="13053" max="13053" width="26.46484375" bestFit="1" customWidth="1"/>
    <col min="13307" max="13308" width="9.19921875" customWidth="1"/>
    <col min="13309" max="13309" width="26.46484375" bestFit="1" customWidth="1"/>
    <col min="13563" max="13564" width="9.19921875" customWidth="1"/>
    <col min="13565" max="13565" width="26.46484375" bestFit="1" customWidth="1"/>
    <col min="13819" max="13820" width="9.19921875" customWidth="1"/>
    <col min="13821" max="13821" width="26.46484375" bestFit="1" customWidth="1"/>
    <col min="14075" max="14076" width="9.19921875" customWidth="1"/>
    <col min="14077" max="14077" width="26.46484375" bestFit="1" customWidth="1"/>
    <col min="14331" max="14332" width="9.19921875" customWidth="1"/>
    <col min="14333" max="14333" width="26.46484375" bestFit="1" customWidth="1"/>
    <col min="14587" max="14588" width="9.19921875" customWidth="1"/>
    <col min="14589" max="14589" width="26.46484375" bestFit="1" customWidth="1"/>
    <col min="14843" max="14844" width="9.19921875" customWidth="1"/>
    <col min="14845" max="14845" width="26.46484375" bestFit="1" customWidth="1"/>
    <col min="15099" max="15100" width="9.19921875" customWidth="1"/>
    <col min="15101" max="15101" width="26.46484375" bestFit="1" customWidth="1"/>
    <col min="15355" max="15356" width="9.19921875" customWidth="1"/>
    <col min="15357" max="15357" width="26.46484375" bestFit="1" customWidth="1"/>
    <col min="15611" max="15612" width="9.19921875" customWidth="1"/>
    <col min="15613" max="15613" width="26.46484375" bestFit="1" customWidth="1"/>
    <col min="15867" max="15868" width="9.19921875" customWidth="1"/>
    <col min="15869" max="15869" width="26.46484375" bestFit="1" customWidth="1"/>
    <col min="16123" max="16124" width="9.19921875" customWidth="1"/>
    <col min="16125" max="16125" width="26.46484375" bestFit="1" customWidth="1"/>
  </cols>
  <sheetData>
    <row r="1" spans="1:8" s="33" customFormat="1" ht="18">
      <c r="A1" s="166"/>
      <c r="B1" s="166"/>
      <c r="C1" s="32"/>
      <c r="D1" s="32"/>
      <c r="E1" s="32"/>
      <c r="F1" s="32"/>
    </row>
    <row r="2" spans="1:8" ht="14.65" thickBot="1">
      <c r="A2" s="34"/>
      <c r="B2" s="167"/>
      <c r="C2" s="167"/>
      <c r="D2" s="168"/>
      <c r="E2" s="168"/>
      <c r="F2" s="32"/>
    </row>
    <row r="3" spans="1:8" ht="14.65" thickBot="1">
      <c r="A3" s="32"/>
      <c r="B3" s="169"/>
      <c r="C3" s="169"/>
      <c r="D3" s="170" t="s">
        <v>96</v>
      </c>
      <c r="E3" s="171"/>
      <c r="F3" s="32"/>
    </row>
    <row r="4" spans="1:8">
      <c r="A4" s="32"/>
      <c r="B4" s="48" t="s">
        <v>97</v>
      </c>
      <c r="C4" s="49" t="s">
        <v>98</v>
      </c>
      <c r="D4" s="50">
        <v>369</v>
      </c>
      <c r="E4" s="51"/>
      <c r="F4" s="32"/>
      <c r="H4" s="37"/>
    </row>
    <row r="5" spans="1:8">
      <c r="A5" s="32"/>
      <c r="B5" s="52"/>
      <c r="C5" s="53" t="s">
        <v>99</v>
      </c>
      <c r="D5" s="54">
        <v>0.15</v>
      </c>
      <c r="E5" s="55">
        <f>D4-D7</f>
        <v>48.130434782608688</v>
      </c>
      <c r="F5" s="32"/>
    </row>
    <row r="6" spans="1:8">
      <c r="A6" s="32"/>
      <c r="B6" s="56"/>
      <c r="C6" s="57" t="s">
        <v>100</v>
      </c>
      <c r="D6" s="56" t="s">
        <v>101</v>
      </c>
      <c r="E6" s="58" t="s">
        <v>101</v>
      </c>
      <c r="F6" s="32"/>
    </row>
    <row r="7" spans="1:8">
      <c r="A7" s="32"/>
      <c r="B7" s="59" t="s">
        <v>102</v>
      </c>
      <c r="C7" s="60" t="s">
        <v>103</v>
      </c>
      <c r="D7" s="61">
        <f>D4/(1+D5)</f>
        <v>320.86956521739131</v>
      </c>
      <c r="E7" s="62"/>
      <c r="F7" s="32"/>
    </row>
    <row r="8" spans="1:8">
      <c r="A8" s="32"/>
      <c r="B8" s="63"/>
      <c r="C8" s="64" t="s">
        <v>104</v>
      </c>
      <c r="D8" s="54">
        <v>0.45</v>
      </c>
      <c r="E8" s="65">
        <f>D7*D8</f>
        <v>144.39130434782609</v>
      </c>
      <c r="F8" s="32"/>
      <c r="G8" s="36"/>
    </row>
    <row r="9" spans="1:8">
      <c r="A9" s="32"/>
      <c r="B9" s="59" t="s">
        <v>105</v>
      </c>
      <c r="C9" s="60" t="s">
        <v>106</v>
      </c>
      <c r="D9" s="61">
        <f>D7-E8</f>
        <v>176.47826086956522</v>
      </c>
      <c r="E9" s="62"/>
      <c r="F9" s="32"/>
    </row>
    <row r="10" spans="1:8">
      <c r="A10" s="32"/>
      <c r="B10" s="63"/>
      <c r="C10" s="64" t="s">
        <v>107</v>
      </c>
      <c r="D10" s="54">
        <v>0</v>
      </c>
      <c r="E10" s="65">
        <f>D9*D10</f>
        <v>0</v>
      </c>
      <c r="F10" s="32"/>
    </row>
    <row r="11" spans="1:8">
      <c r="A11" s="32"/>
      <c r="B11" s="63"/>
      <c r="C11" s="64" t="s">
        <v>108</v>
      </c>
      <c r="D11" s="54">
        <v>0</v>
      </c>
      <c r="E11" s="65">
        <f>D9*D11</f>
        <v>0</v>
      </c>
      <c r="F11" s="32"/>
    </row>
    <row r="12" spans="1:8">
      <c r="A12" s="32"/>
      <c r="B12" s="63"/>
      <c r="C12" s="64" t="s">
        <v>109</v>
      </c>
      <c r="D12" s="54">
        <v>0</v>
      </c>
      <c r="E12" s="65">
        <f>D9*D12</f>
        <v>0</v>
      </c>
      <c r="F12" s="32"/>
    </row>
    <row r="13" spans="1:8">
      <c r="A13" s="32"/>
      <c r="B13" s="59" t="s">
        <v>110</v>
      </c>
      <c r="C13" s="60" t="s">
        <v>111</v>
      </c>
      <c r="D13" s="66">
        <f>D9-E10-E11-E12</f>
        <v>176.47826086956522</v>
      </c>
      <c r="E13" s="67"/>
      <c r="F13" s="32"/>
    </row>
    <row r="14" spans="1:8">
      <c r="A14" s="32"/>
      <c r="B14" s="52"/>
      <c r="C14" s="53" t="s">
        <v>156</v>
      </c>
      <c r="D14" s="54">
        <v>0.22500000000000001</v>
      </c>
      <c r="E14" s="55">
        <f>D13*D14</f>
        <v>39.707608695652176</v>
      </c>
      <c r="F14" s="32"/>
      <c r="G14" s="36"/>
      <c r="H14" s="36"/>
    </row>
    <row r="15" spans="1:8">
      <c r="A15" s="32"/>
      <c r="B15" s="68"/>
      <c r="C15" s="69" t="s">
        <v>157</v>
      </c>
      <c r="D15" s="54">
        <v>0.25</v>
      </c>
      <c r="E15" s="70">
        <f>D13*D15</f>
        <v>44.119565217391305</v>
      </c>
      <c r="F15" s="32"/>
    </row>
    <row r="16" spans="1:8">
      <c r="A16" s="32"/>
      <c r="B16" s="68"/>
      <c r="C16" s="69"/>
      <c r="D16" s="71"/>
      <c r="E16" s="70"/>
      <c r="F16" s="32"/>
    </row>
    <row r="17" spans="1:7">
      <c r="A17" s="32"/>
      <c r="B17" s="68"/>
      <c r="C17" s="69" t="s">
        <v>112</v>
      </c>
      <c r="D17" s="54">
        <v>0</v>
      </c>
      <c r="E17" s="70">
        <f>D13-E14-E15-D18</f>
        <v>0</v>
      </c>
      <c r="F17" s="32"/>
    </row>
    <row r="18" spans="1:7">
      <c r="A18" s="32"/>
      <c r="B18" s="59" t="s">
        <v>113</v>
      </c>
      <c r="C18" s="60" t="s">
        <v>114</v>
      </c>
      <c r="D18" s="66">
        <f>(D13-E14-E15)/(1+D17)</f>
        <v>92.651086956521738</v>
      </c>
      <c r="E18" s="62"/>
      <c r="F18" s="32"/>
      <c r="G18" s="36"/>
    </row>
    <row r="19" spans="1:7">
      <c r="A19" s="32"/>
      <c r="B19" s="52"/>
      <c r="C19" s="53" t="s">
        <v>115</v>
      </c>
      <c r="D19" s="54">
        <v>7.0000000000000007E-2</v>
      </c>
      <c r="E19" s="55">
        <f>D22*D19</f>
        <v>5.6891018306636161</v>
      </c>
      <c r="F19" s="32"/>
    </row>
    <row r="20" spans="1:7">
      <c r="A20" s="32"/>
      <c r="B20" s="72"/>
      <c r="C20" s="73"/>
      <c r="D20" s="71"/>
      <c r="E20" s="70"/>
      <c r="F20" s="32"/>
    </row>
    <row r="21" spans="1:7">
      <c r="A21" s="32"/>
      <c r="B21" s="74"/>
      <c r="C21" s="75" t="s">
        <v>158</v>
      </c>
      <c r="D21" s="76">
        <v>7.0000000000000007E-2</v>
      </c>
      <c r="E21" s="77">
        <f>+D21*D22</f>
        <v>5.6891018306636161</v>
      </c>
      <c r="F21" s="32"/>
    </row>
    <row r="22" spans="1:7">
      <c r="A22" s="32"/>
      <c r="B22" s="59" t="s">
        <v>116</v>
      </c>
      <c r="C22" s="60" t="s">
        <v>117</v>
      </c>
      <c r="D22" s="66">
        <f>D18/(1+D19+D21)</f>
        <v>81.272883295194504</v>
      </c>
      <c r="E22" s="62"/>
      <c r="F22" s="32"/>
      <c r="G22" s="36"/>
    </row>
    <row r="23" spans="1:7">
      <c r="A23" s="32"/>
      <c r="B23" s="52"/>
      <c r="C23" s="78"/>
      <c r="D23" s="52"/>
      <c r="E23" s="55"/>
      <c r="F23" s="32"/>
    </row>
    <row r="24" spans="1:7">
      <c r="A24" s="32"/>
      <c r="B24" s="72"/>
      <c r="C24" s="73" t="s">
        <v>159</v>
      </c>
      <c r="D24" s="54">
        <v>0</v>
      </c>
      <c r="E24" s="70">
        <f>+D24*D$12</f>
        <v>0</v>
      </c>
      <c r="F24" s="32"/>
    </row>
    <row r="25" spans="1:7">
      <c r="A25" s="32"/>
      <c r="B25" s="72"/>
      <c r="C25" s="73"/>
      <c r="D25" s="71"/>
      <c r="E25" s="70"/>
      <c r="F25" s="32"/>
    </row>
    <row r="26" spans="1:7">
      <c r="A26" s="32"/>
      <c r="B26" s="72"/>
      <c r="C26" s="79" t="s">
        <v>160</v>
      </c>
      <c r="D26" s="54">
        <v>0</v>
      </c>
      <c r="E26" s="70">
        <f>+D26*D$12</f>
        <v>0</v>
      </c>
      <c r="F26" s="32"/>
    </row>
    <row r="27" spans="1:7">
      <c r="A27" s="32"/>
      <c r="B27" s="72"/>
      <c r="C27" s="73" t="s">
        <v>161</v>
      </c>
      <c r="D27" s="54">
        <v>0</v>
      </c>
      <c r="E27" s="70">
        <f>+D27*D$12</f>
        <v>0</v>
      </c>
      <c r="F27" s="32"/>
    </row>
    <row r="28" spans="1:7">
      <c r="A28" s="32"/>
      <c r="B28" s="56"/>
      <c r="C28" s="80"/>
      <c r="D28" s="56"/>
      <c r="E28" s="58"/>
      <c r="F28" s="32"/>
    </row>
    <row r="29" spans="1:7">
      <c r="A29" s="32"/>
      <c r="B29" s="81" t="s">
        <v>118</v>
      </c>
      <c r="C29" s="82"/>
      <c r="D29" s="83">
        <f>+D14+D24+D26+D27</f>
        <v>0.22500000000000001</v>
      </c>
      <c r="E29" s="84"/>
      <c r="F29" s="32"/>
    </row>
    <row r="30" spans="1:7">
      <c r="A30" s="32"/>
      <c r="B30" s="85" t="s">
        <v>119</v>
      </c>
      <c r="C30" s="86"/>
      <c r="D30" s="87">
        <f>D7/D22</f>
        <v>3.9480519480519485</v>
      </c>
      <c r="E30" s="88"/>
      <c r="F30" s="32"/>
    </row>
    <row r="31" spans="1:7">
      <c r="A31" s="32"/>
      <c r="B31" s="89" t="s">
        <v>120</v>
      </c>
      <c r="C31" s="90" t="s">
        <v>121</v>
      </c>
      <c r="D31" s="164">
        <f>D7/D13</f>
        <v>1.8181818181818181</v>
      </c>
      <c r="E31" s="165"/>
      <c r="F31" s="32"/>
    </row>
    <row r="32" spans="1:7" ht="14.65" thickBot="1">
      <c r="A32" s="32"/>
      <c r="B32" s="91" t="s">
        <v>122</v>
      </c>
      <c r="C32" s="92"/>
      <c r="D32" s="93">
        <f>D13/D22</f>
        <v>2.1714285714285717</v>
      </c>
      <c r="E32" s="94"/>
      <c r="F32" s="32"/>
    </row>
    <row r="33" spans="4:5">
      <c r="D33" s="46"/>
    </row>
    <row r="34" spans="4:5">
      <c r="E34" s="36"/>
    </row>
  </sheetData>
  <mergeCells count="6">
    <mergeCell ref="D31:E31"/>
    <mergeCell ref="A1:B1"/>
    <mergeCell ref="B2:C2"/>
    <mergeCell ref="D2:E2"/>
    <mergeCell ref="B3:C3"/>
    <mergeCell ref="D3:E3"/>
  </mergeCells>
  <pageMargins left="0.7" right="0.7" top="0.75" bottom="0.75" header="0.3" footer="0.3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5B14-B92D-47D0-B95B-02FD99A0120F}">
  <dimension ref="A1:K31"/>
  <sheetViews>
    <sheetView workbookViewId="0">
      <selection activeCell="B34" sqref="B34"/>
    </sheetView>
  </sheetViews>
  <sheetFormatPr defaultRowHeight="14.25"/>
  <cols>
    <col min="1" max="1" width="11.86328125" bestFit="1" customWidth="1"/>
    <col min="2" max="2" width="29.46484375" bestFit="1" customWidth="1"/>
    <col min="3" max="3" width="7.6640625" bestFit="1" customWidth="1"/>
    <col min="4" max="4" width="7.06640625" bestFit="1" customWidth="1"/>
    <col min="5" max="5" width="8.6640625" bestFit="1" customWidth="1"/>
    <col min="6" max="6" width="9.06640625" bestFit="1" customWidth="1"/>
    <col min="7" max="7" width="9.265625" bestFit="1" customWidth="1"/>
    <col min="8" max="8" width="11.46484375" bestFit="1" customWidth="1"/>
  </cols>
  <sheetData>
    <row r="1" spans="1:11">
      <c r="A1" t="s">
        <v>7</v>
      </c>
      <c r="B1" t="s">
        <v>5</v>
      </c>
      <c r="C1" t="s">
        <v>36</v>
      </c>
      <c r="D1" t="s">
        <v>51</v>
      </c>
      <c r="E1" t="s">
        <v>53</v>
      </c>
      <c r="F1">
        <v>4300000</v>
      </c>
      <c r="H1">
        <f>F1*20%</f>
        <v>860000</v>
      </c>
      <c r="I1">
        <f>H1/822</f>
        <v>1046.2287104622872</v>
      </c>
    </row>
    <row r="2" spans="1:11">
      <c r="A2" t="s">
        <v>1</v>
      </c>
      <c r="B2" t="s">
        <v>3</v>
      </c>
      <c r="C2">
        <v>1</v>
      </c>
      <c r="D2" s="1">
        <v>390</v>
      </c>
      <c r="E2" s="1">
        <f>D2*822</f>
        <v>320580</v>
      </c>
      <c r="F2" s="1">
        <f t="shared" ref="F2:F10" si="0">D2/12</f>
        <v>32.5</v>
      </c>
      <c r="G2" s="22">
        <f>E2/$F$1</f>
        <v>7.4553488372093024E-2</v>
      </c>
      <c r="H2">
        <v>30</v>
      </c>
      <c r="I2">
        <f>H2*13</f>
        <v>390</v>
      </c>
    </row>
    <row r="3" spans="1:11">
      <c r="A3" t="s">
        <v>1</v>
      </c>
      <c r="B3" t="s">
        <v>2</v>
      </c>
      <c r="C3">
        <v>4</v>
      </c>
      <c r="D3" s="1">
        <v>1200</v>
      </c>
      <c r="E3" s="1">
        <f t="shared" ref="E3:E10" si="1">D3*822</f>
        <v>986400</v>
      </c>
      <c r="F3" s="1">
        <f t="shared" si="0"/>
        <v>100</v>
      </c>
      <c r="G3" s="22">
        <f t="shared" ref="G3:G10" si="2">E3/$F$1</f>
        <v>0.2293953488372093</v>
      </c>
      <c r="H3">
        <v>30</v>
      </c>
      <c r="I3">
        <f>H3*12*4</f>
        <v>1440</v>
      </c>
      <c r="J3">
        <f>25*5</f>
        <v>125</v>
      </c>
      <c r="K3">
        <f>J3*12</f>
        <v>1500</v>
      </c>
    </row>
    <row r="4" spans="1:11">
      <c r="A4" t="s">
        <v>1</v>
      </c>
      <c r="B4" t="s">
        <v>10</v>
      </c>
      <c r="C4">
        <v>2</v>
      </c>
      <c r="D4" s="1">
        <v>840</v>
      </c>
      <c r="E4" s="1">
        <f t="shared" si="1"/>
        <v>690480</v>
      </c>
      <c r="F4" s="1">
        <f t="shared" si="0"/>
        <v>70</v>
      </c>
      <c r="G4" s="22">
        <f t="shared" si="2"/>
        <v>0.16057674418604651</v>
      </c>
      <c r="H4">
        <v>35</v>
      </c>
      <c r="I4">
        <f>H4*13</f>
        <v>455</v>
      </c>
      <c r="J4">
        <f>I4*2</f>
        <v>910</v>
      </c>
      <c r="K4">
        <f>E4/2</f>
        <v>345240</v>
      </c>
    </row>
    <row r="5" spans="1:11">
      <c r="A5" t="s">
        <v>1</v>
      </c>
      <c r="B5" t="s">
        <v>4</v>
      </c>
      <c r="C5">
        <v>1</v>
      </c>
      <c r="D5" s="1">
        <v>390</v>
      </c>
      <c r="E5" s="1">
        <f t="shared" si="1"/>
        <v>320580</v>
      </c>
      <c r="F5" s="1">
        <f t="shared" si="0"/>
        <v>32.5</v>
      </c>
      <c r="G5" s="22">
        <f t="shared" si="2"/>
        <v>7.4553488372093024E-2</v>
      </c>
      <c r="H5">
        <v>30</v>
      </c>
      <c r="I5">
        <f>H5*13</f>
        <v>390</v>
      </c>
    </row>
    <row r="6" spans="1:11">
      <c r="A6" t="s">
        <v>1</v>
      </c>
      <c r="B6" t="s">
        <v>6</v>
      </c>
      <c r="C6">
        <v>1</v>
      </c>
      <c r="D6" s="1">
        <v>360</v>
      </c>
      <c r="E6" s="1">
        <f t="shared" si="1"/>
        <v>295920</v>
      </c>
      <c r="F6" s="1">
        <f t="shared" si="0"/>
        <v>30</v>
      </c>
      <c r="G6" s="22">
        <f t="shared" si="2"/>
        <v>6.8818604651162796E-2</v>
      </c>
    </row>
    <row r="7" spans="1:11">
      <c r="A7" t="s">
        <v>1</v>
      </c>
      <c r="B7" t="s">
        <v>32</v>
      </c>
      <c r="C7">
        <v>1</v>
      </c>
      <c r="D7" s="1">
        <v>950</v>
      </c>
      <c r="E7" s="1">
        <v>781840</v>
      </c>
      <c r="F7" s="1">
        <f t="shared" si="0"/>
        <v>79.166666666666671</v>
      </c>
      <c r="G7" s="22">
        <f t="shared" si="2"/>
        <v>0.18182325581395348</v>
      </c>
      <c r="H7">
        <v>70</v>
      </c>
      <c r="I7">
        <f>H7*13</f>
        <v>910</v>
      </c>
    </row>
    <row r="8" spans="1:11">
      <c r="A8" t="s">
        <v>1</v>
      </c>
      <c r="B8" t="s">
        <v>54</v>
      </c>
      <c r="C8">
        <v>1</v>
      </c>
      <c r="D8" s="1">
        <v>320</v>
      </c>
      <c r="E8" s="1">
        <f t="shared" si="1"/>
        <v>263040</v>
      </c>
      <c r="F8" s="1">
        <f t="shared" si="0"/>
        <v>26.666666666666668</v>
      </c>
      <c r="G8" s="22">
        <f t="shared" si="2"/>
        <v>6.1172093023255811E-2</v>
      </c>
    </row>
    <row r="9" spans="1:11">
      <c r="A9" t="s">
        <v>34</v>
      </c>
      <c r="B9" t="s">
        <v>58</v>
      </c>
      <c r="C9">
        <v>1</v>
      </c>
      <c r="D9" s="1">
        <v>500</v>
      </c>
      <c r="E9" s="1">
        <f t="shared" si="1"/>
        <v>411000</v>
      </c>
      <c r="F9" s="1">
        <f t="shared" si="0"/>
        <v>41.666666666666664</v>
      </c>
      <c r="G9" s="22">
        <f t="shared" si="2"/>
        <v>9.5581395348837209E-2</v>
      </c>
      <c r="H9">
        <f>D9/13</f>
        <v>38.46153846153846</v>
      </c>
      <c r="I9">
        <f>37*822</f>
        <v>30414</v>
      </c>
      <c r="J9">
        <f>500/13</f>
        <v>38.46153846153846</v>
      </c>
    </row>
    <row r="10" spans="1:11">
      <c r="A10" t="s">
        <v>34</v>
      </c>
      <c r="B10" t="s">
        <v>55</v>
      </c>
      <c r="C10">
        <v>1</v>
      </c>
      <c r="D10" s="1">
        <v>280</v>
      </c>
      <c r="E10" s="1">
        <f t="shared" si="1"/>
        <v>230160</v>
      </c>
      <c r="F10" s="1">
        <f t="shared" si="0"/>
        <v>23.333333333333332</v>
      </c>
      <c r="G10" s="22">
        <f t="shared" si="2"/>
        <v>5.352558139534884E-2</v>
      </c>
    </row>
    <row r="11" spans="1:11">
      <c r="D11" s="1"/>
      <c r="F11" s="1"/>
      <c r="H11" s="2">
        <f>E18-F1</f>
        <v>200000</v>
      </c>
    </row>
    <row r="12" spans="1:11">
      <c r="B12" t="str">
        <f>UPPER(B9)</f>
        <v>SENSI MAKAH</v>
      </c>
      <c r="E12" s="1"/>
      <c r="H12" s="21">
        <f>H11/822</f>
        <v>243.30900243309003</v>
      </c>
    </row>
    <row r="18" spans="1:10">
      <c r="D18" s="1"/>
      <c r="E18" s="1">
        <v>4500000</v>
      </c>
      <c r="F18" s="1"/>
    </row>
    <row r="19" spans="1:10">
      <c r="A19" t="s">
        <v>2</v>
      </c>
      <c r="C19">
        <v>4</v>
      </c>
      <c r="D19" s="1">
        <f>35*12*4</f>
        <v>1680</v>
      </c>
      <c r="E19" s="1">
        <f>D19*598</f>
        <v>1004640</v>
      </c>
      <c r="F19" s="1">
        <f>D19/13</f>
        <v>129.23076923076923</v>
      </c>
      <c r="G19">
        <f>F19/4</f>
        <v>32.307692307692307</v>
      </c>
      <c r="I19">
        <f>D19/13/4</f>
        <v>32.307692307692307</v>
      </c>
      <c r="J19">
        <f>E19/4</f>
        <v>251160</v>
      </c>
    </row>
    <row r="20" spans="1:10">
      <c r="A20" t="s">
        <v>6</v>
      </c>
      <c r="C20">
        <v>1</v>
      </c>
      <c r="D20" s="1">
        <v>450</v>
      </c>
      <c r="E20" s="1">
        <f t="shared" ref="E20:E28" si="3">D20*598</f>
        <v>269100</v>
      </c>
      <c r="F20" s="1">
        <f>D20/13</f>
        <v>34.615384615384613</v>
      </c>
      <c r="G20">
        <f>F20/4</f>
        <v>8.6538461538461533</v>
      </c>
      <c r="I20">
        <f>D20/13</f>
        <v>34.615384615384613</v>
      </c>
    </row>
    <row r="21" spans="1:10">
      <c r="A21" t="s">
        <v>3</v>
      </c>
      <c r="C21">
        <v>1</v>
      </c>
      <c r="D21" s="1">
        <v>480</v>
      </c>
      <c r="E21" s="1">
        <f t="shared" si="3"/>
        <v>287040</v>
      </c>
      <c r="F21" s="1">
        <f>D21/13</f>
        <v>36.92307692307692</v>
      </c>
      <c r="I21">
        <f t="shared" ref="I21:I27" si="4">D21/13</f>
        <v>36.92307692307692</v>
      </c>
    </row>
    <row r="22" spans="1:10">
      <c r="A22" t="s">
        <v>4</v>
      </c>
      <c r="C22">
        <v>1</v>
      </c>
      <c r="D22" s="1">
        <v>500</v>
      </c>
      <c r="E22" s="1">
        <f t="shared" si="3"/>
        <v>299000</v>
      </c>
      <c r="F22" s="1">
        <f>D22/13</f>
        <v>38.46153846153846</v>
      </c>
      <c r="I22">
        <f t="shared" si="4"/>
        <v>38.46153846153846</v>
      </c>
    </row>
    <row r="23" spans="1:10">
      <c r="A23" t="s">
        <v>10</v>
      </c>
      <c r="C23">
        <v>2</v>
      </c>
      <c r="D23" s="1">
        <v>850</v>
      </c>
      <c r="E23" s="1">
        <f t="shared" si="3"/>
        <v>508300</v>
      </c>
      <c r="F23" s="1">
        <f>D23/13</f>
        <v>65.384615384615387</v>
      </c>
      <c r="H23">
        <f>G23*12</f>
        <v>0</v>
      </c>
      <c r="I23">
        <f>D23/13/2</f>
        <v>32.692307692307693</v>
      </c>
    </row>
    <row r="24" spans="1:10">
      <c r="A24" t="s">
        <v>9</v>
      </c>
      <c r="C24">
        <v>2</v>
      </c>
      <c r="D24" s="1">
        <v>1500</v>
      </c>
      <c r="E24" s="1">
        <f t="shared" si="3"/>
        <v>897000</v>
      </c>
      <c r="F24" s="1">
        <f>D24/12</f>
        <v>125</v>
      </c>
      <c r="I24">
        <f t="shared" si="4"/>
        <v>115.38461538461539</v>
      </c>
    </row>
    <row r="25" spans="1:10">
      <c r="A25" t="s">
        <v>57</v>
      </c>
      <c r="C25">
        <v>1</v>
      </c>
      <c r="D25" s="1">
        <v>600</v>
      </c>
      <c r="E25" s="1">
        <f t="shared" si="3"/>
        <v>358800</v>
      </c>
      <c r="F25" s="1">
        <f>D25/13</f>
        <v>46.153846153846153</v>
      </c>
      <c r="G25">
        <v>40</v>
      </c>
      <c r="H25">
        <f>G25*13</f>
        <v>520</v>
      </c>
      <c r="I25">
        <f t="shared" si="4"/>
        <v>46.153846153846153</v>
      </c>
    </row>
    <row r="26" spans="1:10">
      <c r="A26" t="s">
        <v>55</v>
      </c>
      <c r="C26">
        <v>1</v>
      </c>
      <c r="D26" s="1">
        <v>420</v>
      </c>
      <c r="E26" s="1">
        <v>254200</v>
      </c>
      <c r="F26" s="1">
        <f>D26/13</f>
        <v>32.307692307692307</v>
      </c>
      <c r="I26">
        <f t="shared" si="4"/>
        <v>32.307692307692307</v>
      </c>
    </row>
    <row r="27" spans="1:10">
      <c r="A27" t="s">
        <v>56</v>
      </c>
      <c r="C27">
        <v>1</v>
      </c>
      <c r="D27" s="1">
        <v>400</v>
      </c>
      <c r="E27" s="1">
        <f t="shared" si="3"/>
        <v>239200</v>
      </c>
      <c r="F27" s="1">
        <f>D27/13</f>
        <v>30.76923076923077</v>
      </c>
      <c r="I27">
        <f t="shared" si="4"/>
        <v>30.76923076923077</v>
      </c>
    </row>
    <row r="28" spans="1:10">
      <c r="A28" t="s">
        <v>59</v>
      </c>
      <c r="C28">
        <v>2</v>
      </c>
      <c r="D28" s="1">
        <v>640</v>
      </c>
      <c r="E28" s="1">
        <f t="shared" si="3"/>
        <v>382720</v>
      </c>
      <c r="F28" s="1">
        <f>D28/13/2</f>
        <v>24.615384615384617</v>
      </c>
      <c r="I28">
        <f>D28/13/2</f>
        <v>24.615384615384617</v>
      </c>
    </row>
    <row r="29" spans="1:10">
      <c r="D29" s="1"/>
      <c r="E29" s="1">
        <f>SUM(E19:E28)</f>
        <v>4500000</v>
      </c>
      <c r="F29" s="1"/>
      <c r="G29" s="1">
        <f>E29-E18</f>
        <v>0</v>
      </c>
    </row>
    <row r="30" spans="1:10">
      <c r="E30" s="1">
        <f>E26+380</f>
        <v>254580</v>
      </c>
      <c r="G30">
        <f>G29/598</f>
        <v>0</v>
      </c>
    </row>
    <row r="31" spans="1:10">
      <c r="E31" s="1">
        <f>E26+2660</f>
        <v>256860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FECA-4A83-466C-AA67-B7D60C1E55B5}">
  <dimension ref="A2:P60"/>
  <sheetViews>
    <sheetView showGridLines="0" topLeftCell="A13" workbookViewId="0">
      <selection activeCell="E41" sqref="E41"/>
    </sheetView>
  </sheetViews>
  <sheetFormatPr defaultRowHeight="14.25"/>
  <cols>
    <col min="1" max="1" width="10.46484375" bestFit="1" customWidth="1"/>
    <col min="2" max="2" width="11.86328125" bestFit="1" customWidth="1"/>
    <col min="3" max="3" width="8.6640625" bestFit="1" customWidth="1"/>
    <col min="4" max="7" width="7.19921875" bestFit="1" customWidth="1"/>
    <col min="8" max="8" width="7.265625" bestFit="1" customWidth="1"/>
    <col min="9" max="15" width="7.19921875" bestFit="1" customWidth="1"/>
    <col min="16" max="16" width="9.86328125" bestFit="1" customWidth="1"/>
  </cols>
  <sheetData>
    <row r="2" spans="1:15">
      <c r="C2" s="172" t="s">
        <v>29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</row>
    <row r="3" spans="1:15">
      <c r="A3" s="4" t="s">
        <v>16</v>
      </c>
    </row>
    <row r="4" spans="1:15">
      <c r="A4" s="6" t="s">
        <v>7</v>
      </c>
      <c r="B4" s="6" t="s">
        <v>5</v>
      </c>
      <c r="C4" t="s">
        <v>73</v>
      </c>
    </row>
    <row r="5" spans="1:15">
      <c r="A5" s="7" t="s">
        <v>11</v>
      </c>
      <c r="B5" s="7" t="s">
        <v>3</v>
      </c>
      <c r="C5" s="8">
        <v>228000</v>
      </c>
    </row>
    <row r="6" spans="1:15">
      <c r="A6" s="7" t="s">
        <v>11</v>
      </c>
      <c r="B6" s="7" t="s">
        <v>4</v>
      </c>
      <c r="C6" s="8">
        <v>228000</v>
      </c>
    </row>
    <row r="7" spans="1:15">
      <c r="A7" s="7" t="s">
        <v>11</v>
      </c>
      <c r="B7" s="7" t="s">
        <v>6</v>
      </c>
      <c r="C7" s="8">
        <v>456000</v>
      </c>
    </row>
    <row r="8" spans="1:15">
      <c r="A8" s="9" t="s">
        <v>12</v>
      </c>
      <c r="B8" s="9"/>
      <c r="C8" s="10">
        <v>912000</v>
      </c>
    </row>
    <row r="9" spans="1:15">
      <c r="A9" s="7" t="s">
        <v>8</v>
      </c>
      <c r="B9" s="7" t="s">
        <v>3</v>
      </c>
      <c r="C9" s="8">
        <v>239200</v>
      </c>
    </row>
    <row r="10" spans="1:15">
      <c r="A10" s="7" t="s">
        <v>8</v>
      </c>
      <c r="B10" s="7" t="s">
        <v>2</v>
      </c>
      <c r="C10" s="8">
        <v>538200</v>
      </c>
    </row>
    <row r="11" spans="1:15">
      <c r="A11" s="7" t="s">
        <v>8</v>
      </c>
      <c r="B11" s="7" t="s">
        <v>10</v>
      </c>
      <c r="C11" s="8">
        <v>328899.99999999988</v>
      </c>
    </row>
    <row r="12" spans="1:15">
      <c r="A12" s="7" t="s">
        <v>8</v>
      </c>
      <c r="B12" s="7" t="s">
        <v>4</v>
      </c>
      <c r="C12" s="8">
        <v>239200</v>
      </c>
    </row>
    <row r="13" spans="1:15">
      <c r="A13" s="7" t="s">
        <v>8</v>
      </c>
      <c r="B13" s="7" t="s">
        <v>35</v>
      </c>
      <c r="C13" s="8">
        <v>448500</v>
      </c>
    </row>
    <row r="14" spans="1:15">
      <c r="A14" s="7" t="s">
        <v>8</v>
      </c>
      <c r="B14" s="7" t="s">
        <v>6</v>
      </c>
      <c r="C14" s="8">
        <v>179400</v>
      </c>
    </row>
    <row r="15" spans="1:15">
      <c r="A15" s="7" t="s">
        <v>8</v>
      </c>
      <c r="B15" s="7" t="s">
        <v>57</v>
      </c>
      <c r="C15" s="8">
        <v>209299.99999999994</v>
      </c>
    </row>
    <row r="16" spans="1:15">
      <c r="A16" s="7" t="s">
        <v>8</v>
      </c>
      <c r="B16" s="7" t="s">
        <v>56</v>
      </c>
      <c r="C16" s="8">
        <v>0</v>
      </c>
    </row>
    <row r="17" spans="1:15">
      <c r="A17" s="7" t="s">
        <v>8</v>
      </c>
      <c r="B17" s="7" t="s">
        <v>55</v>
      </c>
      <c r="C17" s="8">
        <v>0</v>
      </c>
    </row>
    <row r="18" spans="1:15">
      <c r="A18" s="7" t="s">
        <v>8</v>
      </c>
      <c r="B18" s="7" t="s">
        <v>59</v>
      </c>
      <c r="C18" s="8">
        <v>149500</v>
      </c>
    </row>
    <row r="19" spans="1:15">
      <c r="A19" s="9" t="s">
        <v>13</v>
      </c>
      <c r="B19" s="9"/>
      <c r="C19" s="10">
        <v>2332200</v>
      </c>
    </row>
    <row r="20" spans="1:15">
      <c r="A20" s="7" t="s">
        <v>1</v>
      </c>
      <c r="B20" s="7" t="s">
        <v>3</v>
      </c>
      <c r="C20" s="8">
        <v>207143.99999999994</v>
      </c>
    </row>
    <row r="21" spans="1:15">
      <c r="A21" s="7" t="s">
        <v>1</v>
      </c>
      <c r="B21" s="7" t="s">
        <v>2</v>
      </c>
      <c r="C21" s="8">
        <v>591840</v>
      </c>
    </row>
    <row r="22" spans="1:15">
      <c r="A22" s="7" t="s">
        <v>1</v>
      </c>
      <c r="B22" s="7" t="s">
        <v>10</v>
      </c>
      <c r="C22" s="8">
        <v>345239.99999999994</v>
      </c>
    </row>
    <row r="23" spans="1:15">
      <c r="A23" s="7" t="s">
        <v>1</v>
      </c>
      <c r="B23" s="7" t="s">
        <v>4</v>
      </c>
      <c r="C23" s="8">
        <v>207143.99999999994</v>
      </c>
    </row>
    <row r="24" spans="1:15">
      <c r="A24" s="7" t="s">
        <v>1</v>
      </c>
      <c r="B24" s="7" t="s">
        <v>6</v>
      </c>
      <c r="C24" s="8">
        <v>207143.99999999994</v>
      </c>
    </row>
    <row r="25" spans="1:15">
      <c r="A25" s="7" t="s">
        <v>1</v>
      </c>
      <c r="B25" t="s">
        <v>32</v>
      </c>
      <c r="C25" s="8">
        <v>651024</v>
      </c>
    </row>
    <row r="26" spans="1:15">
      <c r="A26" s="7" t="s">
        <v>1</v>
      </c>
      <c r="B26" t="s">
        <v>57</v>
      </c>
      <c r="C26" s="8">
        <v>138096</v>
      </c>
    </row>
    <row r="27" spans="1:15">
      <c r="A27" s="7" t="s">
        <v>1</v>
      </c>
      <c r="B27" t="s">
        <v>56</v>
      </c>
      <c r="C27" s="8">
        <v>0</v>
      </c>
    </row>
    <row r="28" spans="1:15">
      <c r="A28" s="7" t="s">
        <v>1</v>
      </c>
      <c r="B28" t="s">
        <v>55</v>
      </c>
      <c r="C28" s="8">
        <v>0</v>
      </c>
    </row>
    <row r="29" spans="1:15">
      <c r="A29" s="9" t="s">
        <v>14</v>
      </c>
      <c r="B29" s="9"/>
      <c r="C29" s="10">
        <v>2347632</v>
      </c>
    </row>
    <row r="30" spans="1:15">
      <c r="A30" s="7" t="s">
        <v>0</v>
      </c>
      <c r="B30" s="7"/>
      <c r="C30" s="8">
        <v>5591832</v>
      </c>
    </row>
    <row r="32" spans="1:15">
      <c r="A32" s="7"/>
      <c r="C32" s="172" t="s">
        <v>30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</row>
    <row r="33" spans="1:16">
      <c r="C33" s="4" t="s">
        <v>15</v>
      </c>
    </row>
    <row r="34" spans="1:16">
      <c r="A34" s="6" t="s">
        <v>7</v>
      </c>
      <c r="B34" s="6" t="s">
        <v>5</v>
      </c>
      <c r="C34" s="5" t="s">
        <v>16</v>
      </c>
      <c r="D34" s="5" t="s">
        <v>17</v>
      </c>
      <c r="E34" s="5" t="s">
        <v>18</v>
      </c>
      <c r="F34" s="5" t="s">
        <v>19</v>
      </c>
      <c r="G34" s="5" t="s">
        <v>20</v>
      </c>
      <c r="H34" s="5" t="s">
        <v>21</v>
      </c>
      <c r="I34" s="5" t="s">
        <v>22</v>
      </c>
      <c r="J34" s="5" t="s">
        <v>23</v>
      </c>
      <c r="K34" s="5" t="s">
        <v>24</v>
      </c>
      <c r="L34" s="5" t="s">
        <v>25</v>
      </c>
      <c r="M34" s="5" t="s">
        <v>26</v>
      </c>
      <c r="N34" s="5" t="s">
        <v>27</v>
      </c>
      <c r="O34" s="5" t="s">
        <v>28</v>
      </c>
    </row>
    <row r="35" spans="1:16">
      <c r="A35" s="7" t="s">
        <v>11</v>
      </c>
      <c r="B35" s="7" t="s">
        <v>3</v>
      </c>
      <c r="C35" s="8">
        <v>125400</v>
      </c>
      <c r="D35" s="8">
        <v>10032</v>
      </c>
      <c r="E35" s="8">
        <v>8151</v>
      </c>
      <c r="F35" s="8">
        <v>18810</v>
      </c>
      <c r="G35" s="8">
        <v>6897</v>
      </c>
      <c r="H35" s="8">
        <v>12540</v>
      </c>
      <c r="I35" s="8">
        <v>12540</v>
      </c>
      <c r="J35" s="8">
        <v>10659</v>
      </c>
      <c r="K35" s="8">
        <v>8151</v>
      </c>
      <c r="L35" s="8">
        <v>9405</v>
      </c>
      <c r="M35" s="8">
        <v>10032</v>
      </c>
      <c r="N35" s="8">
        <v>7524</v>
      </c>
      <c r="O35" s="8">
        <v>10659</v>
      </c>
    </row>
    <row r="36" spans="1:16">
      <c r="A36" s="7" t="s">
        <v>11</v>
      </c>
      <c r="B36" s="7" t="s">
        <v>4</v>
      </c>
      <c r="C36" s="8">
        <v>125400</v>
      </c>
      <c r="D36" s="8">
        <v>10032</v>
      </c>
      <c r="E36" s="8">
        <v>8151</v>
      </c>
      <c r="F36" s="8">
        <v>18810</v>
      </c>
      <c r="G36" s="8">
        <v>6897</v>
      </c>
      <c r="H36" s="8">
        <v>12540</v>
      </c>
      <c r="I36" s="8">
        <v>12540</v>
      </c>
      <c r="J36" s="8">
        <v>10659</v>
      </c>
      <c r="K36" s="8">
        <v>8151</v>
      </c>
      <c r="L36" s="8">
        <v>9405</v>
      </c>
      <c r="M36" s="8">
        <v>10032</v>
      </c>
      <c r="N36" s="8">
        <v>7524</v>
      </c>
      <c r="O36" s="8">
        <v>10659</v>
      </c>
    </row>
    <row r="37" spans="1:16">
      <c r="A37" s="7" t="s">
        <v>11</v>
      </c>
      <c r="B37" s="7" t="s">
        <v>6</v>
      </c>
      <c r="C37" s="8">
        <v>237120.00000000003</v>
      </c>
      <c r="D37" s="8">
        <v>18969.600000000002</v>
      </c>
      <c r="E37" s="8">
        <v>15412.800000000001</v>
      </c>
      <c r="F37" s="8">
        <v>35568</v>
      </c>
      <c r="G37" s="8">
        <v>13041.6</v>
      </c>
      <c r="H37" s="8">
        <v>23712</v>
      </c>
      <c r="I37" s="8">
        <v>23712</v>
      </c>
      <c r="J37" s="8">
        <v>20155.2</v>
      </c>
      <c r="K37" s="8">
        <v>15412.800000000001</v>
      </c>
      <c r="L37" s="8">
        <v>17784</v>
      </c>
      <c r="M37" s="8">
        <v>18969.600000000002</v>
      </c>
      <c r="N37" s="8">
        <v>14227.2</v>
      </c>
      <c r="O37" s="8">
        <v>20155.2</v>
      </c>
    </row>
    <row r="38" spans="1:16">
      <c r="A38" s="9" t="s">
        <v>12</v>
      </c>
      <c r="B38" s="9"/>
      <c r="C38" s="10">
        <v>487920</v>
      </c>
      <c r="D38" s="10">
        <v>39033.600000000006</v>
      </c>
      <c r="E38" s="10">
        <v>31714.800000000003</v>
      </c>
      <c r="F38" s="10">
        <v>73188</v>
      </c>
      <c r="G38" s="10">
        <v>26835.599999999999</v>
      </c>
      <c r="H38" s="10">
        <v>48792</v>
      </c>
      <c r="I38" s="10">
        <v>48792</v>
      </c>
      <c r="J38" s="10">
        <v>41473.199999999997</v>
      </c>
      <c r="K38" s="10">
        <v>31714.800000000003</v>
      </c>
      <c r="L38" s="10">
        <v>36594</v>
      </c>
      <c r="M38" s="10">
        <v>39033.600000000006</v>
      </c>
      <c r="N38" s="10">
        <v>29275.200000000001</v>
      </c>
      <c r="O38" s="10">
        <v>41473.199999999997</v>
      </c>
      <c r="P38" s="2"/>
    </row>
    <row r="39" spans="1:16">
      <c r="A39" s="7" t="s">
        <v>8</v>
      </c>
      <c r="B39" s="7" t="s">
        <v>3</v>
      </c>
      <c r="C39" s="8">
        <v>157872</v>
      </c>
      <c r="D39" s="8">
        <v>12629.76</v>
      </c>
      <c r="E39" s="8">
        <v>10261.68</v>
      </c>
      <c r="F39" s="8">
        <v>23680.799999999999</v>
      </c>
      <c r="G39" s="8">
        <v>8682.9599999999991</v>
      </c>
      <c r="H39" s="8">
        <v>15787.199999999999</v>
      </c>
      <c r="I39" s="8">
        <v>15787.199999999999</v>
      </c>
      <c r="J39" s="8">
        <v>13419.12</v>
      </c>
      <c r="K39" s="8">
        <v>10261.68</v>
      </c>
      <c r="L39" s="8">
        <v>11840.4</v>
      </c>
      <c r="M39" s="8">
        <v>12629.76</v>
      </c>
      <c r="N39" s="8">
        <v>9472.32</v>
      </c>
      <c r="O39" s="8">
        <v>13419.12</v>
      </c>
    </row>
    <row r="40" spans="1:16">
      <c r="A40" s="7" t="s">
        <v>8</v>
      </c>
      <c r="B40" s="7" t="s">
        <v>2</v>
      </c>
      <c r="C40" s="8">
        <v>502320</v>
      </c>
      <c r="D40" s="8">
        <v>40185.599999999999</v>
      </c>
      <c r="E40" s="8">
        <v>32650.800000000003</v>
      </c>
      <c r="F40" s="8">
        <v>75348</v>
      </c>
      <c r="G40" s="8">
        <v>27627.599999999999</v>
      </c>
      <c r="H40" s="8">
        <v>50232</v>
      </c>
      <c r="I40" s="8">
        <v>50232</v>
      </c>
      <c r="J40" s="8">
        <v>42697.200000000004</v>
      </c>
      <c r="K40" s="8">
        <v>32650.800000000003</v>
      </c>
      <c r="L40" s="8">
        <v>37674</v>
      </c>
      <c r="M40" s="8">
        <v>40185.599999999999</v>
      </c>
      <c r="N40" s="8">
        <v>30139.199999999997</v>
      </c>
      <c r="O40" s="8">
        <v>42697.200000000004</v>
      </c>
    </row>
    <row r="41" spans="1:16">
      <c r="A41" s="7" t="s">
        <v>8</v>
      </c>
      <c r="B41" s="7" t="s">
        <v>10</v>
      </c>
      <c r="C41" s="8">
        <v>254150</v>
      </c>
      <c r="D41" s="8">
        <v>20332</v>
      </c>
      <c r="E41" s="8">
        <v>16519.75</v>
      </c>
      <c r="F41" s="8">
        <v>38122.5</v>
      </c>
      <c r="G41" s="8">
        <v>13978.25</v>
      </c>
      <c r="H41" s="8">
        <v>25415</v>
      </c>
      <c r="I41" s="8">
        <v>25415</v>
      </c>
      <c r="J41" s="8">
        <v>21602.75</v>
      </c>
      <c r="K41" s="8">
        <v>16519.75</v>
      </c>
      <c r="L41" s="8">
        <v>19061.25</v>
      </c>
      <c r="M41" s="8">
        <v>20332</v>
      </c>
      <c r="N41" s="8">
        <v>15249</v>
      </c>
      <c r="O41" s="8">
        <v>21602.75</v>
      </c>
    </row>
    <row r="42" spans="1:16">
      <c r="A42" s="7" t="s">
        <v>8</v>
      </c>
      <c r="B42" s="7" t="s">
        <v>4</v>
      </c>
      <c r="C42" s="8">
        <v>164450</v>
      </c>
      <c r="D42" s="8">
        <v>13156</v>
      </c>
      <c r="E42" s="8">
        <v>10689.25</v>
      </c>
      <c r="F42" s="8">
        <v>24667.5</v>
      </c>
      <c r="G42" s="8">
        <v>9044.75</v>
      </c>
      <c r="H42" s="8">
        <v>16445</v>
      </c>
      <c r="I42" s="8">
        <v>16445</v>
      </c>
      <c r="J42" s="8">
        <v>13978.250000000002</v>
      </c>
      <c r="K42" s="8">
        <v>10689.25</v>
      </c>
      <c r="L42" s="8">
        <v>12333.75</v>
      </c>
      <c r="M42" s="8">
        <v>13156</v>
      </c>
      <c r="N42" s="8">
        <v>9867</v>
      </c>
      <c r="O42" s="8">
        <v>13978.250000000002</v>
      </c>
    </row>
    <row r="43" spans="1:16">
      <c r="A43" s="7" t="s">
        <v>8</v>
      </c>
      <c r="B43" s="7" t="s">
        <v>9</v>
      </c>
      <c r="C43" s="8">
        <v>448500</v>
      </c>
      <c r="D43" s="8">
        <v>35880</v>
      </c>
      <c r="E43" s="8">
        <v>29152.5</v>
      </c>
      <c r="F43" s="8">
        <v>67275</v>
      </c>
      <c r="G43" s="8">
        <v>24667.5</v>
      </c>
      <c r="H43" s="8">
        <v>44850</v>
      </c>
      <c r="I43" s="8">
        <v>44850</v>
      </c>
      <c r="J43" s="8">
        <v>38122.5</v>
      </c>
      <c r="K43" s="8">
        <v>29152.5</v>
      </c>
      <c r="L43" s="8">
        <v>33637.5</v>
      </c>
      <c r="M43" s="8">
        <v>35880</v>
      </c>
      <c r="N43" s="8">
        <v>26910</v>
      </c>
      <c r="O43" s="8">
        <v>38122.5</v>
      </c>
    </row>
    <row r="44" spans="1:16">
      <c r="A44" s="7" t="s">
        <v>8</v>
      </c>
      <c r="B44" s="7" t="s">
        <v>6</v>
      </c>
      <c r="C44" s="8">
        <v>139932</v>
      </c>
      <c r="D44" s="8">
        <v>11194.56</v>
      </c>
      <c r="E44" s="8">
        <v>9095.58</v>
      </c>
      <c r="F44" s="8">
        <v>20989.8</v>
      </c>
      <c r="G44" s="8">
        <v>7696.26</v>
      </c>
      <c r="H44" s="8">
        <v>13993.2</v>
      </c>
      <c r="I44" s="8">
        <v>13993.2</v>
      </c>
      <c r="J44" s="8">
        <v>11894.220000000001</v>
      </c>
      <c r="K44" s="8">
        <v>9095.58</v>
      </c>
      <c r="L44" s="8">
        <v>10494.9</v>
      </c>
      <c r="M44" s="8">
        <v>11194.56</v>
      </c>
      <c r="N44" s="8">
        <v>8395.92</v>
      </c>
      <c r="O44" s="8">
        <v>11894.220000000001</v>
      </c>
    </row>
    <row r="45" spans="1:16">
      <c r="A45" s="7" t="s">
        <v>8</v>
      </c>
      <c r="B45" s="7" t="s">
        <v>57</v>
      </c>
      <c r="C45" s="8">
        <v>161460</v>
      </c>
      <c r="D45" s="8">
        <v>12916.8</v>
      </c>
      <c r="E45" s="8">
        <v>10494.9</v>
      </c>
      <c r="F45" s="8">
        <v>24218.999999999996</v>
      </c>
      <c r="G45" s="8">
        <v>8880.2999999999993</v>
      </c>
      <c r="H45" s="8">
        <v>16146</v>
      </c>
      <c r="I45" s="8">
        <v>16146</v>
      </c>
      <c r="J45" s="8">
        <v>13724.099999999999</v>
      </c>
      <c r="K45" s="8">
        <v>10494.9</v>
      </c>
      <c r="L45" s="8">
        <v>12109.499999999998</v>
      </c>
      <c r="M45" s="8">
        <v>12916.8</v>
      </c>
      <c r="N45" s="8">
        <v>9687.5999999999985</v>
      </c>
      <c r="O45" s="8">
        <v>13724.099999999999</v>
      </c>
    </row>
    <row r="46" spans="1:16">
      <c r="A46" s="7" t="s">
        <v>8</v>
      </c>
      <c r="B46" s="7" t="s">
        <v>56</v>
      </c>
      <c r="C46" s="8">
        <v>119600</v>
      </c>
      <c r="D46" s="8">
        <v>9568</v>
      </c>
      <c r="E46" s="8">
        <v>7774</v>
      </c>
      <c r="F46" s="8">
        <v>17940</v>
      </c>
      <c r="G46" s="8">
        <v>6578</v>
      </c>
      <c r="H46" s="8">
        <v>11960</v>
      </c>
      <c r="I46" s="8">
        <v>11960</v>
      </c>
      <c r="J46" s="8">
        <v>10166</v>
      </c>
      <c r="K46" s="8">
        <v>7774</v>
      </c>
      <c r="L46" s="8">
        <v>8970</v>
      </c>
      <c r="M46" s="8">
        <v>9568</v>
      </c>
      <c r="N46" s="8">
        <v>7176</v>
      </c>
      <c r="O46" s="8">
        <v>10166</v>
      </c>
    </row>
    <row r="47" spans="1:16">
      <c r="A47" s="7" t="s">
        <v>8</v>
      </c>
      <c r="B47" s="7" t="s">
        <v>55</v>
      </c>
      <c r="C47" s="8">
        <v>127100</v>
      </c>
      <c r="D47" s="8">
        <v>10168</v>
      </c>
      <c r="E47" s="8">
        <v>8261.5</v>
      </c>
      <c r="F47" s="8">
        <v>19065</v>
      </c>
      <c r="G47" s="8">
        <v>6990.5</v>
      </c>
      <c r="H47" s="8">
        <v>12710</v>
      </c>
      <c r="I47" s="8">
        <v>12710</v>
      </c>
      <c r="J47" s="8">
        <v>10803.5</v>
      </c>
      <c r="K47" s="8">
        <v>8261.5</v>
      </c>
      <c r="L47" s="8">
        <v>9532.5</v>
      </c>
      <c r="M47" s="8">
        <v>10168</v>
      </c>
      <c r="N47" s="8">
        <v>7626</v>
      </c>
      <c r="O47" s="8">
        <v>10803.5</v>
      </c>
    </row>
    <row r="48" spans="1:16">
      <c r="A48" s="7" t="s">
        <v>8</v>
      </c>
      <c r="B48" s="7" t="s">
        <v>59</v>
      </c>
      <c r="C48" s="8">
        <v>191360</v>
      </c>
      <c r="D48" s="8">
        <v>15308.800000000001</v>
      </c>
      <c r="E48" s="8">
        <v>12438.4</v>
      </c>
      <c r="F48" s="8">
        <v>28704</v>
      </c>
      <c r="G48" s="8">
        <v>10524.8</v>
      </c>
      <c r="H48" s="8">
        <v>19136</v>
      </c>
      <c r="I48" s="8">
        <v>19136</v>
      </c>
      <c r="J48" s="8">
        <v>16265.6</v>
      </c>
      <c r="K48" s="8">
        <v>12438.4</v>
      </c>
      <c r="L48" s="8">
        <v>14352</v>
      </c>
      <c r="M48" s="8">
        <v>15308.800000000001</v>
      </c>
      <c r="N48" s="8">
        <v>11481.6</v>
      </c>
      <c r="O48" s="8">
        <v>16265.6</v>
      </c>
    </row>
    <row r="49" spans="1:15">
      <c r="A49" s="9" t="s">
        <v>13</v>
      </c>
      <c r="B49" s="9"/>
      <c r="C49" s="10">
        <v>2266744</v>
      </c>
      <c r="D49" s="10">
        <v>181339.51999999999</v>
      </c>
      <c r="E49" s="10">
        <v>147338.36000000002</v>
      </c>
      <c r="F49" s="10">
        <v>340011.6</v>
      </c>
      <c r="G49" s="10">
        <v>124670.92</v>
      </c>
      <c r="H49" s="10">
        <v>226674.40000000002</v>
      </c>
      <c r="I49" s="10">
        <v>226674.40000000002</v>
      </c>
      <c r="J49" s="10">
        <v>192673.24000000002</v>
      </c>
      <c r="K49" s="10">
        <v>147338.36000000002</v>
      </c>
      <c r="L49" s="10">
        <v>170005.8</v>
      </c>
      <c r="M49" s="10">
        <v>181339.51999999999</v>
      </c>
      <c r="N49" s="10">
        <v>136004.63999999998</v>
      </c>
      <c r="O49" s="10">
        <v>192673.24000000002</v>
      </c>
    </row>
    <row r="50" spans="1:15">
      <c r="A50" s="7" t="s">
        <v>1</v>
      </c>
      <c r="B50" s="7" t="s">
        <v>3</v>
      </c>
      <c r="C50" s="8">
        <v>176318.99999999994</v>
      </c>
      <c r="D50" s="8">
        <v>14105.52</v>
      </c>
      <c r="E50" s="8">
        <v>11460.735000000001</v>
      </c>
      <c r="F50" s="8">
        <v>26447.85</v>
      </c>
      <c r="G50" s="8">
        <v>9697.5450000000019</v>
      </c>
      <c r="H50" s="8">
        <v>17631.900000000001</v>
      </c>
      <c r="I50" s="8">
        <v>17631.900000000001</v>
      </c>
      <c r="J50" s="8">
        <v>14987.115000000002</v>
      </c>
      <c r="K50" s="8">
        <v>11460.735000000001</v>
      </c>
      <c r="L50" s="8">
        <v>13223.924999999999</v>
      </c>
      <c r="M50" s="8">
        <v>14105.52</v>
      </c>
      <c r="N50" s="8">
        <v>10579.14</v>
      </c>
      <c r="O50" s="8">
        <v>14987.115000000002</v>
      </c>
    </row>
    <row r="51" spans="1:15">
      <c r="A51" s="7" t="s">
        <v>1</v>
      </c>
      <c r="B51" s="7" t="s">
        <v>2</v>
      </c>
      <c r="C51" s="8">
        <v>493200</v>
      </c>
      <c r="D51" s="8">
        <v>39456</v>
      </c>
      <c r="E51" s="8">
        <v>32058</v>
      </c>
      <c r="F51" s="8">
        <v>73980</v>
      </c>
      <c r="G51" s="8">
        <v>27126</v>
      </c>
      <c r="H51" s="8">
        <v>49320</v>
      </c>
      <c r="I51" s="8">
        <v>49320</v>
      </c>
      <c r="J51" s="8">
        <v>41922</v>
      </c>
      <c r="K51" s="8">
        <v>32058</v>
      </c>
      <c r="L51" s="8">
        <v>36990</v>
      </c>
      <c r="M51" s="8">
        <v>39456</v>
      </c>
      <c r="N51" s="8">
        <v>29592</v>
      </c>
      <c r="O51" s="8">
        <v>41922</v>
      </c>
    </row>
    <row r="52" spans="1:15">
      <c r="A52" s="7" t="s">
        <v>1</v>
      </c>
      <c r="B52" s="7" t="s">
        <v>10</v>
      </c>
      <c r="C52" s="8">
        <v>345240.00000000006</v>
      </c>
      <c r="D52" s="8">
        <v>27619.200000000001</v>
      </c>
      <c r="E52" s="8">
        <v>22440.600000000002</v>
      </c>
      <c r="F52" s="8">
        <v>51786</v>
      </c>
      <c r="G52" s="8">
        <v>18988.2</v>
      </c>
      <c r="H52" s="8">
        <v>34524</v>
      </c>
      <c r="I52" s="8">
        <v>34524</v>
      </c>
      <c r="J52" s="8">
        <v>29345.4</v>
      </c>
      <c r="K52" s="8">
        <v>22440.600000000002</v>
      </c>
      <c r="L52" s="8">
        <v>25893</v>
      </c>
      <c r="M52" s="8">
        <v>27619.200000000001</v>
      </c>
      <c r="N52" s="8">
        <v>20714.399999999998</v>
      </c>
      <c r="O52" s="8">
        <v>29345.4</v>
      </c>
    </row>
    <row r="53" spans="1:15">
      <c r="A53" s="7" t="s">
        <v>1</v>
      </c>
      <c r="B53" s="7" t="s">
        <v>4</v>
      </c>
      <c r="C53" s="8">
        <v>176318.99999999994</v>
      </c>
      <c r="D53" s="8">
        <v>14105.52</v>
      </c>
      <c r="E53" s="8">
        <v>11460.735000000001</v>
      </c>
      <c r="F53" s="8">
        <v>26447.85</v>
      </c>
      <c r="G53" s="8">
        <v>9697.5450000000019</v>
      </c>
      <c r="H53" s="8">
        <v>17631.900000000001</v>
      </c>
      <c r="I53" s="8">
        <v>17631.900000000001</v>
      </c>
      <c r="J53" s="8">
        <v>14987.115000000002</v>
      </c>
      <c r="K53" s="8">
        <v>11460.735000000001</v>
      </c>
      <c r="L53" s="8">
        <v>13223.924999999999</v>
      </c>
      <c r="M53" s="8">
        <v>14105.52</v>
      </c>
      <c r="N53" s="8">
        <v>10579.14</v>
      </c>
      <c r="O53" s="8">
        <v>14987.115000000002</v>
      </c>
    </row>
    <row r="54" spans="1:15">
      <c r="A54" s="7" t="s">
        <v>1</v>
      </c>
      <c r="B54" s="7" t="s">
        <v>6</v>
      </c>
      <c r="C54" s="8">
        <v>153878.39999999999</v>
      </c>
      <c r="D54" s="8">
        <v>12310.272000000001</v>
      </c>
      <c r="E54" s="8">
        <v>10002.096</v>
      </c>
      <c r="F54" s="8">
        <v>23081.760000000002</v>
      </c>
      <c r="G54" s="8">
        <v>8463.3120000000017</v>
      </c>
      <c r="H54" s="8">
        <v>15387.84</v>
      </c>
      <c r="I54" s="8">
        <v>15387.84</v>
      </c>
      <c r="J54" s="8">
        <v>13079.664000000001</v>
      </c>
      <c r="K54" s="8">
        <v>10002.096</v>
      </c>
      <c r="L54" s="8">
        <v>11540.880000000001</v>
      </c>
      <c r="M54" s="8">
        <v>12310.272000000001</v>
      </c>
      <c r="N54" s="8">
        <v>9232.7040000000015</v>
      </c>
      <c r="O54" s="8">
        <v>13079.664000000001</v>
      </c>
    </row>
    <row r="55" spans="1:15">
      <c r="A55" s="7" t="s">
        <v>1</v>
      </c>
      <c r="B55" t="s">
        <v>32</v>
      </c>
      <c r="C55" s="8">
        <v>351827.99999999994</v>
      </c>
      <c r="D55" s="8">
        <v>28146.239999999998</v>
      </c>
      <c r="E55" s="8">
        <v>22868.819999999996</v>
      </c>
      <c r="F55" s="8">
        <v>52774.2</v>
      </c>
      <c r="G55" s="8">
        <v>19350.539999999997</v>
      </c>
      <c r="H55" s="8">
        <v>35182.799999999996</v>
      </c>
      <c r="I55" s="8">
        <v>35182.799999999996</v>
      </c>
      <c r="J55" s="8">
        <v>29905.379999999997</v>
      </c>
      <c r="K55" s="8">
        <v>22868.819999999996</v>
      </c>
      <c r="L55" s="8">
        <v>26387.1</v>
      </c>
      <c r="M55" s="8">
        <v>28146.239999999998</v>
      </c>
      <c r="N55" s="8">
        <v>21109.68</v>
      </c>
      <c r="O55" s="8">
        <v>29905.379999999997</v>
      </c>
    </row>
    <row r="56" spans="1:15">
      <c r="A56" s="7" t="s">
        <v>1</v>
      </c>
      <c r="B56" t="s">
        <v>57</v>
      </c>
      <c r="C56" s="8">
        <v>184950</v>
      </c>
      <c r="D56" s="8">
        <v>14796</v>
      </c>
      <c r="E56" s="8">
        <v>12021.749999999998</v>
      </c>
      <c r="F56" s="8">
        <v>27742.5</v>
      </c>
      <c r="G56" s="8">
        <v>10172.249999999998</v>
      </c>
      <c r="H56" s="8">
        <v>18494.999999999996</v>
      </c>
      <c r="I56" s="8">
        <v>18494.999999999996</v>
      </c>
      <c r="J56" s="8">
        <v>15720.75</v>
      </c>
      <c r="K56" s="8">
        <v>12021.749999999998</v>
      </c>
      <c r="L56" s="8">
        <v>13871.25</v>
      </c>
      <c r="M56" s="8">
        <v>14796</v>
      </c>
      <c r="N56" s="8">
        <v>11096.999999999998</v>
      </c>
      <c r="O56" s="8">
        <v>15720.75</v>
      </c>
    </row>
    <row r="57" spans="1:15">
      <c r="A57" s="7" t="s">
        <v>1</v>
      </c>
      <c r="B57" t="s">
        <v>56</v>
      </c>
      <c r="C57" s="8">
        <v>144671.99999999997</v>
      </c>
      <c r="D57" s="8">
        <v>11573.76</v>
      </c>
      <c r="E57" s="8">
        <v>9403.68</v>
      </c>
      <c r="F57" s="8">
        <v>21700.799999999999</v>
      </c>
      <c r="G57" s="8">
        <v>7956.96</v>
      </c>
      <c r="H57" s="8">
        <v>14467.199999999999</v>
      </c>
      <c r="I57" s="8">
        <v>14467.199999999999</v>
      </c>
      <c r="J57" s="8">
        <v>12297.12</v>
      </c>
      <c r="K57" s="8">
        <v>9403.68</v>
      </c>
      <c r="L57" s="8">
        <v>10850.4</v>
      </c>
      <c r="M57" s="8">
        <v>11573.76</v>
      </c>
      <c r="N57" s="8">
        <v>8680.32</v>
      </c>
      <c r="O57" s="8">
        <v>12297.12</v>
      </c>
    </row>
    <row r="58" spans="1:15">
      <c r="A58" s="7" t="s">
        <v>1</v>
      </c>
      <c r="B58" t="s">
        <v>55</v>
      </c>
      <c r="C58" s="8">
        <v>124286.39999999997</v>
      </c>
      <c r="D58" s="8">
        <v>9942.9119999999984</v>
      </c>
      <c r="E58" s="8">
        <v>8078.6159999999991</v>
      </c>
      <c r="F58" s="8">
        <v>18642.96</v>
      </c>
      <c r="G58" s="8">
        <v>6835.7519999999995</v>
      </c>
      <c r="H58" s="8">
        <v>12428.64</v>
      </c>
      <c r="I58" s="8">
        <v>12428.64</v>
      </c>
      <c r="J58" s="8">
        <v>10564.344000000001</v>
      </c>
      <c r="K58" s="8">
        <v>8078.6159999999991</v>
      </c>
      <c r="L58" s="8">
        <v>9321.48</v>
      </c>
      <c r="M58" s="8">
        <v>9942.9119999999984</v>
      </c>
      <c r="N58" s="8">
        <v>7457.1840000000002</v>
      </c>
      <c r="O58" s="8">
        <v>10564.344000000001</v>
      </c>
    </row>
    <row r="59" spans="1:15">
      <c r="A59" s="9" t="s">
        <v>14</v>
      </c>
      <c r="B59" s="9"/>
      <c r="C59" s="10">
        <v>2150692.7999999998</v>
      </c>
      <c r="D59" s="10">
        <v>172055.42400000003</v>
      </c>
      <c r="E59" s="10">
        <v>139795.03200000001</v>
      </c>
      <c r="F59" s="10">
        <v>322603.92000000004</v>
      </c>
      <c r="G59" s="10">
        <v>118288.10399999999</v>
      </c>
      <c r="H59" s="10">
        <v>215069.27999999997</v>
      </c>
      <c r="I59" s="10">
        <v>215069.27999999997</v>
      </c>
      <c r="J59" s="10">
        <v>182808.88800000004</v>
      </c>
      <c r="K59" s="10">
        <v>139795.03200000001</v>
      </c>
      <c r="L59" s="10">
        <v>161301.96000000002</v>
      </c>
      <c r="M59" s="10">
        <v>172055.42400000003</v>
      </c>
      <c r="N59" s="10">
        <v>129041.56799999998</v>
      </c>
      <c r="O59" s="10">
        <v>182808.88800000004</v>
      </c>
    </row>
    <row r="60" spans="1:15">
      <c r="A60" s="7" t="s">
        <v>0</v>
      </c>
      <c r="B60" s="7"/>
      <c r="C60" s="8">
        <v>4905356.8</v>
      </c>
      <c r="D60" s="8">
        <v>392428.54400000005</v>
      </c>
      <c r="E60" s="8">
        <v>318848.19199999998</v>
      </c>
      <c r="F60" s="8">
        <v>735803.5199999999</v>
      </c>
      <c r="G60" s="8">
        <v>269794.62400000001</v>
      </c>
      <c r="H60" s="8">
        <v>490535.68000000011</v>
      </c>
      <c r="I60" s="8">
        <v>490535.68000000011</v>
      </c>
      <c r="J60" s="8">
        <v>416955.32800000004</v>
      </c>
      <c r="K60" s="8">
        <v>318848.19199999998</v>
      </c>
      <c r="L60" s="8">
        <v>367901.75999999995</v>
      </c>
      <c r="M60" s="8">
        <v>392428.54400000005</v>
      </c>
      <c r="N60" s="8">
        <v>294321.408</v>
      </c>
      <c r="O60" s="8">
        <v>416955.32800000004</v>
      </c>
    </row>
  </sheetData>
  <mergeCells count="2">
    <mergeCell ref="C2:O2"/>
    <mergeCell ref="C32:O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D829-E77C-4706-8AB2-B5DDDC2C305D}">
  <dimension ref="A1:I30"/>
  <sheetViews>
    <sheetView showGridLines="0" zoomScale="80" zoomScaleNormal="80" workbookViewId="0">
      <selection activeCell="D29" sqref="D29"/>
    </sheetView>
  </sheetViews>
  <sheetFormatPr defaultColWidth="8.796875" defaultRowHeight="14.25"/>
  <cols>
    <col min="1" max="1" width="10.796875" style="96" bestFit="1" customWidth="1"/>
    <col min="2" max="2" width="17.46484375" style="96" bestFit="1" customWidth="1"/>
    <col min="3" max="3" width="4.59765625" style="96" bestFit="1" customWidth="1"/>
    <col min="4" max="4" width="9.6640625" style="96" bestFit="1" customWidth="1"/>
    <col min="5" max="5" width="5.796875" style="98" bestFit="1" customWidth="1"/>
    <col min="6" max="6" width="10.796875" style="96" bestFit="1" customWidth="1"/>
    <col min="7" max="7" width="10.86328125" style="96" bestFit="1" customWidth="1"/>
    <col min="8" max="8" width="10.46484375" style="96" bestFit="1" customWidth="1"/>
    <col min="9" max="9" width="13.265625" style="96" bestFit="1" customWidth="1"/>
    <col min="10" max="10" width="9.3984375" style="96" bestFit="1" customWidth="1"/>
    <col min="11" max="16384" width="8.796875" style="96"/>
  </cols>
  <sheetData>
    <row r="1" spans="1:9" ht="42" customHeight="1"/>
    <row r="2" spans="1:9">
      <c r="D2" s="97" t="s">
        <v>29</v>
      </c>
    </row>
    <row r="3" spans="1:9" s="98" customFormat="1">
      <c r="A3" s="99" t="s">
        <v>7</v>
      </c>
      <c r="B3" s="99" t="s">
        <v>5</v>
      </c>
      <c r="C3" s="99" t="s">
        <v>36</v>
      </c>
      <c r="D3" s="99" t="s">
        <v>16</v>
      </c>
      <c r="E3" s="100" t="s">
        <v>147</v>
      </c>
    </row>
    <row r="4" spans="1:9">
      <c r="A4" s="101" t="s">
        <v>136</v>
      </c>
      <c r="B4" s="101" t="s">
        <v>93</v>
      </c>
      <c r="C4" s="102">
        <v>1</v>
      </c>
      <c r="D4" s="103">
        <f>65*315*11</f>
        <v>225225</v>
      </c>
      <c r="E4" s="104">
        <f>D4/315</f>
        <v>715</v>
      </c>
      <c r="I4" s="105"/>
    </row>
    <row r="5" spans="1:9">
      <c r="A5" s="101" t="s">
        <v>136</v>
      </c>
      <c r="B5" s="101" t="s">
        <v>95</v>
      </c>
      <c r="C5" s="102">
        <v>1</v>
      </c>
      <c r="D5" s="103">
        <f>55*315*12</f>
        <v>207900</v>
      </c>
      <c r="E5" s="104">
        <f t="shared" ref="E5:E13" si="0">D5/315</f>
        <v>660</v>
      </c>
    </row>
    <row r="6" spans="1:9">
      <c r="A6" s="101" t="s">
        <v>136</v>
      </c>
      <c r="B6" s="101" t="s">
        <v>94</v>
      </c>
      <c r="C6" s="102">
        <v>0</v>
      </c>
      <c r="D6" s="103">
        <v>0</v>
      </c>
      <c r="E6" s="104">
        <f t="shared" si="0"/>
        <v>0</v>
      </c>
    </row>
    <row r="7" spans="1:9">
      <c r="A7" s="101" t="s">
        <v>136</v>
      </c>
      <c r="B7" s="106" t="s">
        <v>137</v>
      </c>
      <c r="C7" s="107">
        <v>1</v>
      </c>
      <c r="D7" s="103">
        <f>70*315*6</f>
        <v>132300</v>
      </c>
      <c r="E7" s="104">
        <f t="shared" si="0"/>
        <v>420</v>
      </c>
    </row>
    <row r="8" spans="1:9">
      <c r="A8" s="101" t="s">
        <v>136</v>
      </c>
      <c r="B8" s="106" t="s">
        <v>138</v>
      </c>
      <c r="C8" s="107">
        <v>0</v>
      </c>
      <c r="D8" s="103">
        <v>0</v>
      </c>
      <c r="E8" s="104">
        <f t="shared" si="0"/>
        <v>0</v>
      </c>
    </row>
    <row r="9" spans="1:9">
      <c r="A9" s="101" t="s">
        <v>136</v>
      </c>
      <c r="B9" s="101" t="s">
        <v>35</v>
      </c>
      <c r="C9" s="102">
        <v>0</v>
      </c>
      <c r="D9" s="103">
        <v>0</v>
      </c>
      <c r="E9" s="104">
        <f t="shared" si="0"/>
        <v>0</v>
      </c>
    </row>
    <row r="10" spans="1:9">
      <c r="A10" s="101" t="s">
        <v>136</v>
      </c>
      <c r="B10" s="101" t="s">
        <v>59</v>
      </c>
      <c r="C10" s="102">
        <v>2</v>
      </c>
      <c r="D10" s="103">
        <f>(50*315*6)*2</f>
        <v>189000</v>
      </c>
      <c r="E10" s="104">
        <f t="shared" si="0"/>
        <v>600</v>
      </c>
    </row>
    <row r="11" spans="1:9">
      <c r="A11" s="101" t="s">
        <v>136</v>
      </c>
      <c r="B11" s="108" t="s">
        <v>149</v>
      </c>
      <c r="C11" s="102">
        <v>2</v>
      </c>
      <c r="D11" s="103">
        <f>(50*315*6)*2</f>
        <v>189000</v>
      </c>
      <c r="E11" s="104">
        <f t="shared" si="0"/>
        <v>600</v>
      </c>
    </row>
    <row r="12" spans="1:9">
      <c r="A12" s="101" t="s">
        <v>136</v>
      </c>
      <c r="B12" s="108" t="s">
        <v>150</v>
      </c>
      <c r="C12" s="102">
        <v>3</v>
      </c>
      <c r="D12" s="103">
        <f>(50*315*6)*3</f>
        <v>283500</v>
      </c>
      <c r="E12" s="104">
        <f t="shared" si="0"/>
        <v>900</v>
      </c>
    </row>
    <row r="13" spans="1:9">
      <c r="A13" s="101" t="s">
        <v>136</v>
      </c>
      <c r="B13" s="109" t="s">
        <v>155</v>
      </c>
      <c r="C13" s="107">
        <v>1</v>
      </c>
      <c r="D13" s="103">
        <f>60*315*10</f>
        <v>189000</v>
      </c>
      <c r="E13" s="104">
        <f t="shared" si="0"/>
        <v>600</v>
      </c>
      <c r="F13" s="96">
        <f>15000/315</f>
        <v>47.61904761904762</v>
      </c>
      <c r="G13" s="96">
        <f>F13*25%+F13</f>
        <v>59.523809523809526</v>
      </c>
    </row>
    <row r="14" spans="1:9">
      <c r="A14" s="173" t="s">
        <v>0</v>
      </c>
      <c r="B14" s="174"/>
      <c r="C14" s="110">
        <f>SUM(C4:C13)</f>
        <v>11</v>
      </c>
      <c r="D14" s="111">
        <f>SUM(D4:D13)</f>
        <v>1415925</v>
      </c>
      <c r="E14" s="111">
        <f>SUM(E4:E13)</f>
        <v>4495</v>
      </c>
    </row>
    <row r="15" spans="1:9">
      <c r="B15" s="112"/>
    </row>
    <row r="16" spans="1:9">
      <c r="B16" s="112"/>
    </row>
    <row r="17" spans="1:5">
      <c r="B17" s="112"/>
    </row>
    <row r="18" spans="1:5">
      <c r="D18" s="100" t="s">
        <v>30</v>
      </c>
    </row>
    <row r="19" spans="1:5" s="114" customFormat="1">
      <c r="A19" s="113" t="s">
        <v>7</v>
      </c>
      <c r="B19" s="113" t="s">
        <v>5</v>
      </c>
      <c r="C19" s="113" t="s">
        <v>36</v>
      </c>
      <c r="D19" s="113" t="s">
        <v>16</v>
      </c>
      <c r="E19" s="104" t="s">
        <v>147</v>
      </c>
    </row>
    <row r="20" spans="1:5">
      <c r="A20" s="101" t="s">
        <v>136</v>
      </c>
      <c r="B20" s="101" t="s">
        <v>93</v>
      </c>
      <c r="C20" s="102">
        <v>1</v>
      </c>
      <c r="D20" s="103">
        <f>D4*0.55</f>
        <v>123873.75000000001</v>
      </c>
      <c r="E20" s="104">
        <v>715</v>
      </c>
    </row>
    <row r="21" spans="1:5">
      <c r="A21" s="101" t="s">
        <v>136</v>
      </c>
      <c r="B21" s="101" t="s">
        <v>95</v>
      </c>
      <c r="C21" s="102">
        <v>1</v>
      </c>
      <c r="D21" s="103">
        <f>D5*0.6</f>
        <v>124740</v>
      </c>
      <c r="E21" s="104">
        <v>660</v>
      </c>
    </row>
    <row r="22" spans="1:5">
      <c r="A22" s="101" t="s">
        <v>136</v>
      </c>
      <c r="B22" s="101" t="s">
        <v>94</v>
      </c>
      <c r="C22" s="102">
        <v>0</v>
      </c>
      <c r="D22" s="103">
        <f>D6*0.6</f>
        <v>0</v>
      </c>
      <c r="E22" s="104">
        <v>0</v>
      </c>
    </row>
    <row r="23" spans="1:5">
      <c r="A23" s="101" t="s">
        <v>136</v>
      </c>
      <c r="B23" s="101" t="s">
        <v>137</v>
      </c>
      <c r="C23" s="107">
        <v>1</v>
      </c>
      <c r="D23" s="103">
        <f t="shared" ref="D23:D28" si="1">D7*0.55</f>
        <v>72765</v>
      </c>
      <c r="E23" s="104">
        <v>630</v>
      </c>
    </row>
    <row r="24" spans="1:5">
      <c r="A24" s="101" t="s">
        <v>136</v>
      </c>
      <c r="B24" s="101" t="s">
        <v>138</v>
      </c>
      <c r="C24" s="107">
        <v>0</v>
      </c>
      <c r="D24" s="103">
        <f t="shared" si="1"/>
        <v>0</v>
      </c>
      <c r="E24" s="104">
        <v>420</v>
      </c>
    </row>
    <row r="25" spans="1:5">
      <c r="A25" s="101" t="s">
        <v>136</v>
      </c>
      <c r="B25" s="101" t="s">
        <v>35</v>
      </c>
      <c r="C25" s="107">
        <v>0</v>
      </c>
      <c r="D25" s="103">
        <f t="shared" si="1"/>
        <v>0</v>
      </c>
      <c r="E25" s="104">
        <v>500</v>
      </c>
    </row>
    <row r="26" spans="1:5">
      <c r="A26" s="101" t="s">
        <v>136</v>
      </c>
      <c r="B26" s="101" t="s">
        <v>59</v>
      </c>
      <c r="C26" s="107">
        <v>2</v>
      </c>
      <c r="D26" s="103">
        <f t="shared" si="1"/>
        <v>103950.00000000001</v>
      </c>
      <c r="E26" s="104">
        <v>600</v>
      </c>
    </row>
    <row r="27" spans="1:5">
      <c r="A27" s="101" t="s">
        <v>136</v>
      </c>
      <c r="B27" s="108" t="s">
        <v>149</v>
      </c>
      <c r="C27" s="102">
        <v>2</v>
      </c>
      <c r="D27" s="103">
        <f t="shared" si="1"/>
        <v>103950.00000000001</v>
      </c>
      <c r="E27" s="104">
        <v>600</v>
      </c>
    </row>
    <row r="28" spans="1:5">
      <c r="A28" s="101" t="s">
        <v>136</v>
      </c>
      <c r="B28" s="108" t="s">
        <v>150</v>
      </c>
      <c r="C28" s="102">
        <v>3</v>
      </c>
      <c r="D28" s="103">
        <f t="shared" si="1"/>
        <v>155925</v>
      </c>
      <c r="E28" s="104">
        <v>900</v>
      </c>
    </row>
    <row r="29" spans="1:5">
      <c r="A29" s="101" t="s">
        <v>136</v>
      </c>
      <c r="B29" s="109" t="s">
        <v>155</v>
      </c>
      <c r="C29" s="107">
        <v>1</v>
      </c>
      <c r="D29" s="103">
        <f>D13*0.5</f>
        <v>94500</v>
      </c>
      <c r="E29" s="104">
        <v>600</v>
      </c>
    </row>
    <row r="30" spans="1:5" s="114" customFormat="1">
      <c r="A30" s="175" t="s">
        <v>0</v>
      </c>
      <c r="B30" s="176"/>
      <c r="C30" s="115">
        <f>SUM(C20:C29)</f>
        <v>11</v>
      </c>
      <c r="D30" s="116">
        <f>SUM(D20:D29)</f>
        <v>779703.75</v>
      </c>
      <c r="E30" s="116">
        <f>SUM(E20:E29)</f>
        <v>5625</v>
      </c>
    </row>
  </sheetData>
  <mergeCells count="2">
    <mergeCell ref="A14:B14"/>
    <mergeCell ref="A30:B30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6BFB-BE11-4598-A252-6142C5F3FACC}">
  <dimension ref="A1:AE35"/>
  <sheetViews>
    <sheetView showGridLines="0" tabSelected="1" zoomScale="70" zoomScaleNormal="70" workbookViewId="0">
      <selection activeCell="O32" sqref="O32"/>
    </sheetView>
  </sheetViews>
  <sheetFormatPr defaultColWidth="8.796875" defaultRowHeight="14.25"/>
  <cols>
    <col min="1" max="1" width="11.796875" style="96" bestFit="1" customWidth="1"/>
    <col min="2" max="2" width="18" style="96" bestFit="1" customWidth="1"/>
    <col min="3" max="3" width="4.9296875" style="96" bestFit="1" customWidth="1"/>
    <col min="4" max="4" width="10" style="96" bestFit="1" customWidth="1"/>
    <col min="5" max="5" width="7.33203125" style="96" bestFit="1" customWidth="1"/>
    <col min="6" max="6" width="7.59765625" style="96" bestFit="1" customWidth="1"/>
    <col min="7" max="7" width="8.265625" style="96" bestFit="1" customWidth="1"/>
    <col min="8" max="8" width="7.46484375" style="96" bestFit="1" customWidth="1"/>
    <col min="9" max="9" width="8.1328125" style="96" bestFit="1" customWidth="1"/>
    <col min="10" max="10" width="7.3984375" style="96" bestFit="1" customWidth="1"/>
    <col min="11" max="16" width="8.265625" style="96" bestFit="1" customWidth="1"/>
    <col min="17" max="17" width="7.1328125" style="96" bestFit="1" customWidth="1"/>
    <col min="18" max="18" width="8.265625" style="96" bestFit="1" customWidth="1"/>
    <col min="19" max="19" width="7.33203125" style="96" bestFit="1" customWidth="1"/>
    <col min="20" max="20" width="7.59765625" style="96" bestFit="1" customWidth="1"/>
    <col min="21" max="21" width="8" style="96" bestFit="1" customWidth="1"/>
    <col min="22" max="22" width="7.46484375" style="96" bestFit="1" customWidth="1"/>
    <col min="23" max="23" width="8.1328125" style="96" bestFit="1" customWidth="1"/>
    <col min="24" max="24" width="7.3984375" style="96" bestFit="1" customWidth="1"/>
    <col min="25" max="25" width="7.1328125" style="96" bestFit="1" customWidth="1"/>
    <col min="26" max="26" width="7.796875" style="96" bestFit="1" customWidth="1"/>
    <col min="27" max="27" width="7.59765625" style="96" bestFit="1" customWidth="1"/>
    <col min="28" max="28" width="7.46484375" style="96" bestFit="1" customWidth="1"/>
    <col min="29" max="29" width="7.796875" style="96" bestFit="1" customWidth="1"/>
    <col min="30" max="30" width="7.6640625" style="96" bestFit="1" customWidth="1"/>
    <col min="31" max="31" width="10.796875" style="96" bestFit="1" customWidth="1"/>
    <col min="32" max="32" width="8.796875" style="96"/>
    <col min="33" max="33" width="10.796875" style="96" bestFit="1" customWidth="1"/>
    <col min="34" max="34" width="10.86328125" style="96" bestFit="1" customWidth="1"/>
    <col min="35" max="35" width="10.46484375" style="96" bestFit="1" customWidth="1"/>
    <col min="36" max="36" width="13.265625" style="96" bestFit="1" customWidth="1"/>
    <col min="37" max="37" width="9.3984375" style="96" bestFit="1" customWidth="1"/>
    <col min="38" max="16384" width="8.796875" style="96"/>
  </cols>
  <sheetData>
    <row r="1" spans="1:29" ht="33" customHeight="1"/>
    <row r="2" spans="1:29">
      <c r="K2" s="117">
        <v>0.15</v>
      </c>
      <c r="L2" s="118">
        <v>0.17</v>
      </c>
      <c r="M2" s="118">
        <v>0.2</v>
      </c>
      <c r="N2" s="118">
        <v>0.2</v>
      </c>
      <c r="O2" s="118">
        <v>0.18</v>
      </c>
      <c r="P2" s="118">
        <v>0.1</v>
      </c>
    </row>
    <row r="3" spans="1:29">
      <c r="B3" s="105"/>
      <c r="C3" s="105"/>
      <c r="E3" s="119"/>
      <c r="F3" s="119"/>
      <c r="G3" s="119"/>
      <c r="H3" s="119">
        <v>8.777777777777776E-2</v>
      </c>
      <c r="I3" s="119">
        <v>0.13277777777777777</v>
      </c>
      <c r="J3" s="119">
        <v>0.13277777777777777</v>
      </c>
      <c r="K3" s="119">
        <v>0.11777777777777777</v>
      </c>
      <c r="L3" s="119">
        <v>9.7777777777777769E-2</v>
      </c>
      <c r="M3" s="119">
        <v>0.10777777777777776</v>
      </c>
      <c r="N3" s="119">
        <v>0.11277777777777777</v>
      </c>
      <c r="O3" s="119">
        <v>9.2777777777777765E-2</v>
      </c>
      <c r="P3" s="119">
        <v>0.11777777777777777</v>
      </c>
      <c r="R3" s="119"/>
      <c r="S3" s="120"/>
      <c r="T3" s="118"/>
      <c r="U3" s="119"/>
      <c r="V3" s="119"/>
      <c r="W3" s="119"/>
      <c r="X3" s="119"/>
      <c r="Y3" s="119"/>
      <c r="Z3" s="119"/>
      <c r="AA3" s="119"/>
      <c r="AB3" s="119"/>
      <c r="AC3" s="119"/>
    </row>
    <row r="4" spans="1:29">
      <c r="B4" s="96">
        <v>189000</v>
      </c>
      <c r="E4" s="119">
        <v>0.08</v>
      </c>
      <c r="F4" s="119">
        <v>6.5000000000000002E-2</v>
      </c>
      <c r="G4" s="119">
        <v>0.15</v>
      </c>
      <c r="H4" s="119">
        <v>5.5E-2</v>
      </c>
      <c r="I4" s="119">
        <v>0.1</v>
      </c>
      <c r="J4" s="119">
        <v>0.1</v>
      </c>
      <c r="K4" s="119">
        <v>8.5000000000000006E-2</v>
      </c>
      <c r="L4" s="119">
        <v>6.5000000000000002E-2</v>
      </c>
      <c r="M4" s="119">
        <v>7.4999999999999997E-2</v>
      </c>
      <c r="N4" s="119">
        <v>0.08</v>
      </c>
      <c r="O4" s="119">
        <v>0.06</v>
      </c>
      <c r="P4" s="119">
        <v>8.5000000000000006E-2</v>
      </c>
      <c r="Q4" s="119">
        <v>0.08</v>
      </c>
    </row>
    <row r="5" spans="1:29">
      <c r="D5" s="177" t="s">
        <v>29</v>
      </c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</row>
    <row r="6" spans="1:29" s="98" customFormat="1">
      <c r="A6" s="99" t="s">
        <v>7</v>
      </c>
      <c r="B6" s="99" t="s">
        <v>5</v>
      </c>
      <c r="C6" s="99" t="s">
        <v>36</v>
      </c>
      <c r="D6" s="99" t="s">
        <v>16</v>
      </c>
      <c r="E6" s="99" t="s">
        <v>37</v>
      </c>
      <c r="F6" s="99" t="s">
        <v>38</v>
      </c>
      <c r="G6" s="99" t="s">
        <v>39</v>
      </c>
      <c r="H6" s="99" t="s">
        <v>40</v>
      </c>
      <c r="I6" s="99" t="s">
        <v>41</v>
      </c>
      <c r="J6" s="99" t="s">
        <v>42</v>
      </c>
      <c r="K6" s="99" t="s">
        <v>43</v>
      </c>
      <c r="L6" s="99" t="s">
        <v>44</v>
      </c>
      <c r="M6" s="99" t="s">
        <v>45</v>
      </c>
      <c r="N6" s="99" t="s">
        <v>46</v>
      </c>
      <c r="O6" s="99" t="s">
        <v>47</v>
      </c>
      <c r="P6" s="99" t="s">
        <v>48</v>
      </c>
    </row>
    <row r="7" spans="1:29">
      <c r="A7" s="101" t="s">
        <v>136</v>
      </c>
      <c r="B7" s="101" t="s">
        <v>93</v>
      </c>
      <c r="C7" s="102">
        <v>1</v>
      </c>
      <c r="D7" s="103">
        <f>SUM(E7:P7)</f>
        <v>225225</v>
      </c>
      <c r="E7" s="103"/>
      <c r="F7" s="103">
        <v>14639.625</v>
      </c>
      <c r="G7" s="103">
        <v>51801.75</v>
      </c>
      <c r="H7" s="103">
        <v>12387.375</v>
      </c>
      <c r="I7" s="103">
        <v>22522.5</v>
      </c>
      <c r="J7" s="103">
        <v>22522.5</v>
      </c>
      <c r="K7" s="103">
        <v>19144.125</v>
      </c>
      <c r="L7" s="103">
        <v>14639.625</v>
      </c>
      <c r="M7" s="103">
        <v>16891.875</v>
      </c>
      <c r="N7" s="103">
        <v>18018</v>
      </c>
      <c r="O7" s="103">
        <v>13513.5</v>
      </c>
      <c r="P7" s="103">
        <v>19144.125</v>
      </c>
    </row>
    <row r="8" spans="1:29">
      <c r="A8" s="101" t="s">
        <v>136</v>
      </c>
      <c r="B8" s="101" t="s">
        <v>95</v>
      </c>
      <c r="C8" s="102">
        <v>1</v>
      </c>
      <c r="D8" s="103">
        <f>SUM(E8:P8)</f>
        <v>207900</v>
      </c>
      <c r="E8" s="103">
        <v>16632</v>
      </c>
      <c r="F8" s="103">
        <v>13513.5</v>
      </c>
      <c r="G8" s="103">
        <v>31185</v>
      </c>
      <c r="H8" s="103">
        <v>11434.5</v>
      </c>
      <c r="I8" s="103">
        <v>20790</v>
      </c>
      <c r="J8" s="103">
        <v>20790</v>
      </c>
      <c r="K8" s="103">
        <v>17671.5</v>
      </c>
      <c r="L8" s="103">
        <v>13513.5</v>
      </c>
      <c r="M8" s="103">
        <v>15592.5</v>
      </c>
      <c r="N8" s="103">
        <v>16632</v>
      </c>
      <c r="O8" s="103">
        <v>12474</v>
      </c>
      <c r="P8" s="103">
        <v>17671.5</v>
      </c>
    </row>
    <row r="9" spans="1:29">
      <c r="A9" s="101" t="s">
        <v>136</v>
      </c>
      <c r="B9" s="101" t="s">
        <v>94</v>
      </c>
      <c r="C9" s="102">
        <v>0</v>
      </c>
      <c r="D9" s="103">
        <f>SUM(E9:P9)</f>
        <v>0</v>
      </c>
      <c r="E9" s="103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</row>
    <row r="10" spans="1:29">
      <c r="A10" s="101" t="s">
        <v>136</v>
      </c>
      <c r="B10" s="106" t="s">
        <v>137</v>
      </c>
      <c r="C10" s="107">
        <v>1</v>
      </c>
      <c r="D10" s="103">
        <f>SUM(E10:P10)</f>
        <v>132300</v>
      </c>
      <c r="E10" s="103">
        <v>0</v>
      </c>
      <c r="F10" s="103">
        <v>0</v>
      </c>
      <c r="G10" s="103">
        <v>0</v>
      </c>
      <c r="H10" s="103">
        <v>0</v>
      </c>
      <c r="I10" s="103">
        <v>0</v>
      </c>
      <c r="J10" s="103"/>
      <c r="K10" s="103">
        <v>19845</v>
      </c>
      <c r="L10" s="103">
        <v>22491</v>
      </c>
      <c r="M10" s="103">
        <v>26460</v>
      </c>
      <c r="N10" s="103">
        <v>26460</v>
      </c>
      <c r="O10" s="103">
        <v>23814</v>
      </c>
      <c r="P10" s="103">
        <v>13230</v>
      </c>
    </row>
    <row r="11" spans="1:29">
      <c r="A11" s="101" t="s">
        <v>136</v>
      </c>
      <c r="B11" s="106" t="s">
        <v>138</v>
      </c>
      <c r="C11" s="107">
        <v>0</v>
      </c>
      <c r="D11" s="103">
        <f>SUM(E11:P11)</f>
        <v>0</v>
      </c>
      <c r="E11" s="103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</row>
    <row r="12" spans="1:29">
      <c r="A12" s="101" t="s">
        <v>136</v>
      </c>
      <c r="B12" s="106" t="s">
        <v>35</v>
      </c>
      <c r="C12" s="107">
        <v>2</v>
      </c>
      <c r="D12" s="103">
        <f t="shared" ref="D12:D16" si="0">SUM(E12:P12)</f>
        <v>0</v>
      </c>
      <c r="E12" s="103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</row>
    <row r="13" spans="1:29">
      <c r="A13" s="101" t="s">
        <v>136</v>
      </c>
      <c r="B13" s="106" t="s">
        <v>59</v>
      </c>
      <c r="C13" s="107">
        <v>2</v>
      </c>
      <c r="D13" s="103">
        <f t="shared" si="0"/>
        <v>189000</v>
      </c>
      <c r="E13" s="103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28350</v>
      </c>
      <c r="L13" s="103">
        <v>32130.000000000004</v>
      </c>
      <c r="M13" s="103">
        <v>37800</v>
      </c>
      <c r="N13" s="103">
        <v>37800</v>
      </c>
      <c r="O13" s="103">
        <v>34020</v>
      </c>
      <c r="P13" s="103">
        <v>18900</v>
      </c>
    </row>
    <row r="14" spans="1:29">
      <c r="A14" s="101" t="s">
        <v>136</v>
      </c>
      <c r="B14" s="106" t="s">
        <v>149</v>
      </c>
      <c r="C14" s="107">
        <v>2</v>
      </c>
      <c r="D14" s="103">
        <f t="shared" si="0"/>
        <v>189000</v>
      </c>
      <c r="E14" s="103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28350</v>
      </c>
      <c r="L14" s="103">
        <v>32130.000000000004</v>
      </c>
      <c r="M14" s="103">
        <v>37800</v>
      </c>
      <c r="N14" s="103">
        <v>37800</v>
      </c>
      <c r="O14" s="103">
        <v>34020</v>
      </c>
      <c r="P14" s="103">
        <v>18900</v>
      </c>
    </row>
    <row r="15" spans="1:29">
      <c r="A15" s="101" t="s">
        <v>136</v>
      </c>
      <c r="B15" s="106" t="s">
        <v>150</v>
      </c>
      <c r="C15" s="107">
        <v>3</v>
      </c>
      <c r="D15" s="103">
        <f t="shared" si="0"/>
        <v>283500</v>
      </c>
      <c r="E15" s="103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42525</v>
      </c>
      <c r="L15" s="103">
        <v>48195</v>
      </c>
      <c r="M15" s="103">
        <v>56700</v>
      </c>
      <c r="N15" s="103">
        <v>56700</v>
      </c>
      <c r="O15" s="103">
        <v>51030</v>
      </c>
      <c r="P15" s="103">
        <v>28350</v>
      </c>
    </row>
    <row r="16" spans="1:29">
      <c r="A16" s="101" t="s">
        <v>136</v>
      </c>
      <c r="B16" s="106" t="s">
        <v>155</v>
      </c>
      <c r="C16" s="107">
        <v>1</v>
      </c>
      <c r="D16" s="103">
        <f t="shared" si="0"/>
        <v>189000</v>
      </c>
      <c r="E16" s="103">
        <v>15120</v>
      </c>
      <c r="F16" s="103">
        <v>12285</v>
      </c>
      <c r="G16" s="103">
        <v>28350</v>
      </c>
      <c r="H16" s="103">
        <v>10395</v>
      </c>
      <c r="I16" s="103">
        <v>18900</v>
      </c>
      <c r="J16" s="103">
        <v>18900</v>
      </c>
      <c r="K16" s="103">
        <v>16065.000000000002</v>
      </c>
      <c r="L16" s="103">
        <v>12285</v>
      </c>
      <c r="M16" s="103">
        <v>14175</v>
      </c>
      <c r="N16" s="103">
        <v>15120</v>
      </c>
      <c r="O16" s="103">
        <v>11340</v>
      </c>
      <c r="P16" s="103">
        <v>16065.000000000002</v>
      </c>
    </row>
    <row r="17" spans="1:31">
      <c r="A17" s="173" t="s">
        <v>0</v>
      </c>
      <c r="B17" s="174"/>
      <c r="C17" s="110">
        <f>SUM(C7:C16)</f>
        <v>13</v>
      </c>
      <c r="D17" s="111">
        <f>SUM(D7:D16)</f>
        <v>1415925</v>
      </c>
      <c r="E17" s="111">
        <f t="shared" ref="E17:P17" si="1">SUM(E7:E16)</f>
        <v>31752</v>
      </c>
      <c r="F17" s="111">
        <f t="shared" si="1"/>
        <v>40438.125</v>
      </c>
      <c r="G17" s="111">
        <f t="shared" si="1"/>
        <v>111336.75</v>
      </c>
      <c r="H17" s="111">
        <f t="shared" si="1"/>
        <v>34216.875</v>
      </c>
      <c r="I17" s="111">
        <f t="shared" si="1"/>
        <v>62212.5</v>
      </c>
      <c r="J17" s="111">
        <f t="shared" si="1"/>
        <v>62212.5</v>
      </c>
      <c r="K17" s="111">
        <f t="shared" si="1"/>
        <v>171950.625</v>
      </c>
      <c r="L17" s="111">
        <f t="shared" si="1"/>
        <v>175384.125</v>
      </c>
      <c r="M17" s="111">
        <f t="shared" si="1"/>
        <v>205419.375</v>
      </c>
      <c r="N17" s="111">
        <f t="shared" si="1"/>
        <v>208530</v>
      </c>
      <c r="O17" s="111">
        <f t="shared" si="1"/>
        <v>180211.5</v>
      </c>
      <c r="P17" s="111">
        <f t="shared" si="1"/>
        <v>132260.625</v>
      </c>
    </row>
    <row r="20" spans="1:31">
      <c r="D20" s="177" t="s">
        <v>30</v>
      </c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R20" s="177" t="s">
        <v>31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</row>
    <row r="21" spans="1:31" s="114" customFormat="1">
      <c r="A21" s="113" t="s">
        <v>7</v>
      </c>
      <c r="B21" s="113" t="s">
        <v>5</v>
      </c>
      <c r="C21" s="113" t="s">
        <v>36</v>
      </c>
      <c r="D21" s="113" t="s">
        <v>16</v>
      </c>
      <c r="E21" s="113" t="s">
        <v>37</v>
      </c>
      <c r="F21" s="113" t="s">
        <v>38</v>
      </c>
      <c r="G21" s="113" t="s">
        <v>39</v>
      </c>
      <c r="H21" s="113" t="s">
        <v>40</v>
      </c>
      <c r="I21" s="113" t="s">
        <v>41</v>
      </c>
      <c r="J21" s="113" t="s">
        <v>42</v>
      </c>
      <c r="K21" s="113" t="s">
        <v>43</v>
      </c>
      <c r="L21" s="113" t="s">
        <v>44</v>
      </c>
      <c r="M21" s="113" t="s">
        <v>45</v>
      </c>
      <c r="N21" s="113" t="s">
        <v>46</v>
      </c>
      <c r="O21" s="113" t="s">
        <v>47</v>
      </c>
      <c r="P21" s="113" t="s">
        <v>48</v>
      </c>
      <c r="R21" s="121" t="s">
        <v>16</v>
      </c>
      <c r="S21" s="121" t="s">
        <v>37</v>
      </c>
      <c r="T21" s="121" t="s">
        <v>38</v>
      </c>
      <c r="U21" s="121" t="s">
        <v>39</v>
      </c>
      <c r="V21" s="121" t="s">
        <v>40</v>
      </c>
      <c r="W21" s="121" t="s">
        <v>41</v>
      </c>
      <c r="X21" s="121" t="s">
        <v>42</v>
      </c>
      <c r="Y21" s="121" t="s">
        <v>43</v>
      </c>
      <c r="Z21" s="121" t="s">
        <v>44</v>
      </c>
      <c r="AA21" s="121" t="s">
        <v>45</v>
      </c>
      <c r="AB21" s="121" t="s">
        <v>46</v>
      </c>
      <c r="AC21" s="121" t="s">
        <v>47</v>
      </c>
      <c r="AD21" s="121" t="s">
        <v>48</v>
      </c>
      <c r="AE21" s="122" t="s">
        <v>139</v>
      </c>
    </row>
    <row r="22" spans="1:31">
      <c r="A22" s="101" t="s">
        <v>136</v>
      </c>
      <c r="B22" s="101" t="s">
        <v>93</v>
      </c>
      <c r="C22" s="102">
        <v>1</v>
      </c>
      <c r="D22" s="103">
        <f t="shared" ref="D22:P22" si="2">D7*0.55</f>
        <v>123873.75000000001</v>
      </c>
      <c r="E22" s="103">
        <f t="shared" si="2"/>
        <v>0</v>
      </c>
      <c r="F22" s="103">
        <f t="shared" si="2"/>
        <v>8051.7937500000007</v>
      </c>
      <c r="G22" s="103">
        <f t="shared" si="2"/>
        <v>28490.962500000001</v>
      </c>
      <c r="H22" s="103">
        <f t="shared" si="2"/>
        <v>6813.0562500000005</v>
      </c>
      <c r="I22" s="103">
        <f t="shared" si="2"/>
        <v>12387.375000000002</v>
      </c>
      <c r="J22" s="103">
        <f t="shared" si="2"/>
        <v>12387.375000000002</v>
      </c>
      <c r="K22" s="103">
        <f t="shared" si="2"/>
        <v>10529.268750000001</v>
      </c>
      <c r="L22" s="103">
        <f t="shared" si="2"/>
        <v>8051.7937500000007</v>
      </c>
      <c r="M22" s="103">
        <f t="shared" si="2"/>
        <v>9290.53125</v>
      </c>
      <c r="N22" s="103">
        <f t="shared" si="2"/>
        <v>9909.9000000000015</v>
      </c>
      <c r="O22" s="103">
        <f t="shared" si="2"/>
        <v>7432.4250000000002</v>
      </c>
      <c r="P22" s="103">
        <f t="shared" si="2"/>
        <v>10529.268750000001</v>
      </c>
      <c r="R22" s="103">
        <f>SUM(S22:AD22)</f>
        <v>27871.593750000004</v>
      </c>
      <c r="S22" s="103">
        <f t="shared" ref="S22:S28" si="3">E22*22.5%</f>
        <v>0</v>
      </c>
      <c r="T22" s="103">
        <f t="shared" ref="T22:AD22" si="4">F22*22.5%</f>
        <v>1811.6535937500003</v>
      </c>
      <c r="U22" s="103">
        <f t="shared" si="4"/>
        <v>6410.4665625000007</v>
      </c>
      <c r="V22" s="103">
        <f t="shared" si="4"/>
        <v>1532.9376562500001</v>
      </c>
      <c r="W22" s="103">
        <f t="shared" si="4"/>
        <v>2787.1593750000006</v>
      </c>
      <c r="X22" s="103">
        <f t="shared" si="4"/>
        <v>2787.1593750000006</v>
      </c>
      <c r="Y22" s="103">
        <f t="shared" si="4"/>
        <v>2369.0854687500005</v>
      </c>
      <c r="Z22" s="103">
        <f t="shared" si="4"/>
        <v>1811.6535937500003</v>
      </c>
      <c r="AA22" s="103">
        <f t="shared" si="4"/>
        <v>2090.3695312499999</v>
      </c>
      <c r="AB22" s="103">
        <f t="shared" si="4"/>
        <v>2229.7275000000004</v>
      </c>
      <c r="AC22" s="103">
        <f t="shared" si="4"/>
        <v>1672.295625</v>
      </c>
      <c r="AD22" s="103">
        <f t="shared" si="4"/>
        <v>2369.0854687500005</v>
      </c>
      <c r="AE22" s="123">
        <f t="shared" ref="AE22:AE30" si="5">D22*25%</f>
        <v>30968.437500000004</v>
      </c>
    </row>
    <row r="23" spans="1:31">
      <c r="A23" s="101" t="s">
        <v>136</v>
      </c>
      <c r="B23" s="101" t="s">
        <v>95</v>
      </c>
      <c r="C23" s="102">
        <v>1</v>
      </c>
      <c r="D23" s="103">
        <f>D8*0.6</f>
        <v>124740</v>
      </c>
      <c r="E23" s="103">
        <f t="shared" ref="E23:P23" si="6">E8*0.6</f>
        <v>9979.1999999999989</v>
      </c>
      <c r="F23" s="103">
        <f t="shared" si="6"/>
        <v>8108.0999999999995</v>
      </c>
      <c r="G23" s="103">
        <f t="shared" si="6"/>
        <v>18711</v>
      </c>
      <c r="H23" s="103">
        <f t="shared" si="6"/>
        <v>6860.7</v>
      </c>
      <c r="I23" s="103">
        <f t="shared" si="6"/>
        <v>12474</v>
      </c>
      <c r="J23" s="103">
        <f t="shared" si="6"/>
        <v>12474</v>
      </c>
      <c r="K23" s="103">
        <f t="shared" si="6"/>
        <v>10602.9</v>
      </c>
      <c r="L23" s="103">
        <f t="shared" si="6"/>
        <v>8108.0999999999995</v>
      </c>
      <c r="M23" s="103">
        <f t="shared" si="6"/>
        <v>9355.5</v>
      </c>
      <c r="N23" s="103">
        <f t="shared" si="6"/>
        <v>9979.1999999999989</v>
      </c>
      <c r="O23" s="103">
        <f t="shared" si="6"/>
        <v>7484.4</v>
      </c>
      <c r="P23" s="103">
        <f t="shared" si="6"/>
        <v>10602.9</v>
      </c>
      <c r="R23" s="103">
        <f t="shared" ref="R23:R31" si="7">SUM(S23:AD23)</f>
        <v>28066.5</v>
      </c>
      <c r="S23" s="103">
        <f t="shared" si="3"/>
        <v>2245.3199999999997</v>
      </c>
      <c r="T23" s="103">
        <f t="shared" ref="T23:T28" si="8">F23*22.5%</f>
        <v>1824.3225</v>
      </c>
      <c r="U23" s="103">
        <f t="shared" ref="U23:U28" si="9">G23*22.5%</f>
        <v>4209.9750000000004</v>
      </c>
      <c r="V23" s="103">
        <f t="shared" ref="V23:V28" si="10">H23*22.5%</f>
        <v>1543.6575</v>
      </c>
      <c r="W23" s="103">
        <f t="shared" ref="W23:W28" si="11">I23*22.5%</f>
        <v>2806.65</v>
      </c>
      <c r="X23" s="103">
        <f t="shared" ref="X23:X28" si="12">J23*22.5%</f>
        <v>2806.65</v>
      </c>
      <c r="Y23" s="103">
        <f t="shared" ref="Y23:Y28" si="13">K23*22.5%</f>
        <v>2385.6525000000001</v>
      </c>
      <c r="Z23" s="103">
        <f t="shared" ref="Z23:Z28" si="14">L23*22.5%</f>
        <v>1824.3225</v>
      </c>
      <c r="AA23" s="103">
        <f t="shared" ref="AA23:AA28" si="15">M23*22.5%</f>
        <v>2104.9875000000002</v>
      </c>
      <c r="AB23" s="103">
        <f t="shared" ref="AB23:AB28" si="16">N23*22.5%</f>
        <v>2245.3199999999997</v>
      </c>
      <c r="AC23" s="103">
        <f t="shared" ref="AC23:AC28" si="17">O23*22.5%</f>
        <v>1683.99</v>
      </c>
      <c r="AD23" s="103">
        <f t="shared" ref="AD23:AD28" si="18">P23*22.5%</f>
        <v>2385.6525000000001</v>
      </c>
      <c r="AE23" s="123">
        <f t="shared" si="5"/>
        <v>31185</v>
      </c>
    </row>
    <row r="24" spans="1:31">
      <c r="A24" s="101" t="s">
        <v>136</v>
      </c>
      <c r="B24" s="101" t="s">
        <v>94</v>
      </c>
      <c r="C24" s="102">
        <v>1</v>
      </c>
      <c r="D24" s="103">
        <f t="shared" ref="D24:P24" si="19">D9*0.55</f>
        <v>0</v>
      </c>
      <c r="E24" s="103">
        <f t="shared" si="19"/>
        <v>0</v>
      </c>
      <c r="F24" s="103">
        <f t="shared" si="19"/>
        <v>0</v>
      </c>
      <c r="G24" s="103">
        <f t="shared" si="19"/>
        <v>0</v>
      </c>
      <c r="H24" s="103">
        <f t="shared" si="19"/>
        <v>0</v>
      </c>
      <c r="I24" s="103">
        <f t="shared" si="19"/>
        <v>0</v>
      </c>
      <c r="J24" s="103">
        <f t="shared" si="19"/>
        <v>0</v>
      </c>
      <c r="K24" s="103">
        <f t="shared" si="19"/>
        <v>0</v>
      </c>
      <c r="L24" s="103">
        <f t="shared" si="19"/>
        <v>0</v>
      </c>
      <c r="M24" s="103">
        <f t="shared" si="19"/>
        <v>0</v>
      </c>
      <c r="N24" s="103">
        <f t="shared" si="19"/>
        <v>0</v>
      </c>
      <c r="O24" s="103">
        <f t="shared" si="19"/>
        <v>0</v>
      </c>
      <c r="P24" s="103">
        <f t="shared" si="19"/>
        <v>0</v>
      </c>
      <c r="R24" s="103">
        <f t="shared" si="7"/>
        <v>0</v>
      </c>
      <c r="S24" s="103">
        <f t="shared" si="3"/>
        <v>0</v>
      </c>
      <c r="T24" s="103">
        <f t="shared" si="8"/>
        <v>0</v>
      </c>
      <c r="U24" s="103">
        <f t="shared" si="9"/>
        <v>0</v>
      </c>
      <c r="V24" s="103">
        <f t="shared" si="10"/>
        <v>0</v>
      </c>
      <c r="W24" s="103">
        <f t="shared" si="11"/>
        <v>0</v>
      </c>
      <c r="X24" s="103">
        <f t="shared" si="12"/>
        <v>0</v>
      </c>
      <c r="Y24" s="103">
        <f t="shared" si="13"/>
        <v>0</v>
      </c>
      <c r="Z24" s="103">
        <f t="shared" si="14"/>
        <v>0</v>
      </c>
      <c r="AA24" s="103">
        <f t="shared" si="15"/>
        <v>0</v>
      </c>
      <c r="AB24" s="103">
        <f t="shared" si="16"/>
        <v>0</v>
      </c>
      <c r="AC24" s="103">
        <f t="shared" si="17"/>
        <v>0</v>
      </c>
      <c r="AD24" s="103">
        <f t="shared" si="18"/>
        <v>0</v>
      </c>
      <c r="AE24" s="123">
        <f t="shared" si="5"/>
        <v>0</v>
      </c>
    </row>
    <row r="25" spans="1:31">
      <c r="A25" s="101" t="s">
        <v>136</v>
      </c>
      <c r="B25" s="101" t="s">
        <v>137</v>
      </c>
      <c r="C25" s="107">
        <v>1</v>
      </c>
      <c r="D25" s="103">
        <f t="shared" ref="D25:P25" si="20">D10*0.55</f>
        <v>72765</v>
      </c>
      <c r="E25" s="103">
        <f t="shared" si="20"/>
        <v>0</v>
      </c>
      <c r="F25" s="103">
        <f t="shared" si="20"/>
        <v>0</v>
      </c>
      <c r="G25" s="103">
        <f t="shared" si="20"/>
        <v>0</v>
      </c>
      <c r="H25" s="103">
        <f t="shared" si="20"/>
        <v>0</v>
      </c>
      <c r="I25" s="103">
        <f t="shared" si="20"/>
        <v>0</v>
      </c>
      <c r="J25" s="103">
        <f t="shared" si="20"/>
        <v>0</v>
      </c>
      <c r="K25" s="103">
        <f t="shared" si="20"/>
        <v>10914.75</v>
      </c>
      <c r="L25" s="103">
        <f t="shared" si="20"/>
        <v>12370.050000000001</v>
      </c>
      <c r="M25" s="103">
        <f t="shared" si="20"/>
        <v>14553.000000000002</v>
      </c>
      <c r="N25" s="103">
        <f t="shared" si="20"/>
        <v>14553.000000000002</v>
      </c>
      <c r="O25" s="103">
        <f t="shared" si="20"/>
        <v>13097.7</v>
      </c>
      <c r="P25" s="103">
        <f t="shared" si="20"/>
        <v>7276.5000000000009</v>
      </c>
      <c r="R25" s="103">
        <f t="shared" si="7"/>
        <v>16372.125000000002</v>
      </c>
      <c r="S25" s="103">
        <f t="shared" si="3"/>
        <v>0</v>
      </c>
      <c r="T25" s="103">
        <f t="shared" si="8"/>
        <v>0</v>
      </c>
      <c r="U25" s="103">
        <f t="shared" si="9"/>
        <v>0</v>
      </c>
      <c r="V25" s="103">
        <f t="shared" si="10"/>
        <v>0</v>
      </c>
      <c r="W25" s="103">
        <f t="shared" si="11"/>
        <v>0</v>
      </c>
      <c r="X25" s="103">
        <f t="shared" si="12"/>
        <v>0</v>
      </c>
      <c r="Y25" s="103">
        <f t="shared" si="13"/>
        <v>2455.8187499999999</v>
      </c>
      <c r="Z25" s="103">
        <f t="shared" si="14"/>
        <v>2783.2612500000005</v>
      </c>
      <c r="AA25" s="103">
        <f t="shared" si="15"/>
        <v>3274.4250000000006</v>
      </c>
      <c r="AB25" s="103">
        <f t="shared" si="16"/>
        <v>3274.4250000000006</v>
      </c>
      <c r="AC25" s="103">
        <f t="shared" si="17"/>
        <v>2946.9825000000001</v>
      </c>
      <c r="AD25" s="103">
        <f t="shared" si="18"/>
        <v>1637.2125000000003</v>
      </c>
      <c r="AE25" s="123">
        <f t="shared" si="5"/>
        <v>18191.25</v>
      </c>
    </row>
    <row r="26" spans="1:31">
      <c r="A26" s="101" t="s">
        <v>136</v>
      </c>
      <c r="B26" s="101" t="s">
        <v>138</v>
      </c>
      <c r="C26" s="107">
        <v>0</v>
      </c>
      <c r="D26" s="103">
        <f t="shared" ref="D26:P26" si="21">D11*0.55</f>
        <v>0</v>
      </c>
      <c r="E26" s="103">
        <f t="shared" si="21"/>
        <v>0</v>
      </c>
      <c r="F26" s="103">
        <f t="shared" si="21"/>
        <v>0</v>
      </c>
      <c r="G26" s="103">
        <f t="shared" si="21"/>
        <v>0</v>
      </c>
      <c r="H26" s="103">
        <f t="shared" si="21"/>
        <v>0</v>
      </c>
      <c r="I26" s="103">
        <f t="shared" si="21"/>
        <v>0</v>
      </c>
      <c r="J26" s="103">
        <f t="shared" si="21"/>
        <v>0</v>
      </c>
      <c r="K26" s="103">
        <f t="shared" si="21"/>
        <v>0</v>
      </c>
      <c r="L26" s="103">
        <f t="shared" si="21"/>
        <v>0</v>
      </c>
      <c r="M26" s="103">
        <f t="shared" si="21"/>
        <v>0</v>
      </c>
      <c r="N26" s="103">
        <f t="shared" si="21"/>
        <v>0</v>
      </c>
      <c r="O26" s="103">
        <f t="shared" si="21"/>
        <v>0</v>
      </c>
      <c r="P26" s="103">
        <f t="shared" si="21"/>
        <v>0</v>
      </c>
      <c r="R26" s="103">
        <f t="shared" si="7"/>
        <v>0</v>
      </c>
      <c r="S26" s="103">
        <f t="shared" si="3"/>
        <v>0</v>
      </c>
      <c r="T26" s="103">
        <f t="shared" si="8"/>
        <v>0</v>
      </c>
      <c r="U26" s="103">
        <f t="shared" si="9"/>
        <v>0</v>
      </c>
      <c r="V26" s="103">
        <f t="shared" si="10"/>
        <v>0</v>
      </c>
      <c r="W26" s="103">
        <f t="shared" si="11"/>
        <v>0</v>
      </c>
      <c r="X26" s="103">
        <f t="shared" si="12"/>
        <v>0</v>
      </c>
      <c r="Y26" s="103">
        <f t="shared" si="13"/>
        <v>0</v>
      </c>
      <c r="Z26" s="103">
        <f t="shared" si="14"/>
        <v>0</v>
      </c>
      <c r="AA26" s="103">
        <f t="shared" si="15"/>
        <v>0</v>
      </c>
      <c r="AB26" s="103">
        <f t="shared" si="16"/>
        <v>0</v>
      </c>
      <c r="AC26" s="103">
        <f t="shared" si="17"/>
        <v>0</v>
      </c>
      <c r="AD26" s="103">
        <f t="shared" si="18"/>
        <v>0</v>
      </c>
      <c r="AE26" s="123">
        <f t="shared" si="5"/>
        <v>0</v>
      </c>
    </row>
    <row r="27" spans="1:31">
      <c r="A27" s="101" t="s">
        <v>136</v>
      </c>
      <c r="B27" s="101" t="s">
        <v>35</v>
      </c>
      <c r="C27" s="107">
        <v>0</v>
      </c>
      <c r="D27" s="103">
        <f t="shared" ref="D27:P27" si="22">D12*0.55</f>
        <v>0</v>
      </c>
      <c r="E27" s="103">
        <f t="shared" si="22"/>
        <v>0</v>
      </c>
      <c r="F27" s="103">
        <f t="shared" si="22"/>
        <v>0</v>
      </c>
      <c r="G27" s="103">
        <f t="shared" si="22"/>
        <v>0</v>
      </c>
      <c r="H27" s="103">
        <f t="shared" si="22"/>
        <v>0</v>
      </c>
      <c r="I27" s="103">
        <f t="shared" si="22"/>
        <v>0</v>
      </c>
      <c r="J27" s="103">
        <f t="shared" si="22"/>
        <v>0</v>
      </c>
      <c r="K27" s="103">
        <f t="shared" si="22"/>
        <v>0</v>
      </c>
      <c r="L27" s="103">
        <f t="shared" si="22"/>
        <v>0</v>
      </c>
      <c r="M27" s="103">
        <f t="shared" si="22"/>
        <v>0</v>
      </c>
      <c r="N27" s="103">
        <f t="shared" si="22"/>
        <v>0</v>
      </c>
      <c r="O27" s="103">
        <f t="shared" si="22"/>
        <v>0</v>
      </c>
      <c r="P27" s="103">
        <f t="shared" si="22"/>
        <v>0</v>
      </c>
      <c r="R27" s="103">
        <f t="shared" si="7"/>
        <v>0</v>
      </c>
      <c r="S27" s="103">
        <f t="shared" si="3"/>
        <v>0</v>
      </c>
      <c r="T27" s="103">
        <f t="shared" si="8"/>
        <v>0</v>
      </c>
      <c r="U27" s="103">
        <f t="shared" si="9"/>
        <v>0</v>
      </c>
      <c r="V27" s="103">
        <f t="shared" si="10"/>
        <v>0</v>
      </c>
      <c r="W27" s="103">
        <f t="shared" si="11"/>
        <v>0</v>
      </c>
      <c r="X27" s="103">
        <f t="shared" si="12"/>
        <v>0</v>
      </c>
      <c r="Y27" s="103">
        <f t="shared" si="13"/>
        <v>0</v>
      </c>
      <c r="Z27" s="103">
        <f t="shared" si="14"/>
        <v>0</v>
      </c>
      <c r="AA27" s="103">
        <f t="shared" si="15"/>
        <v>0</v>
      </c>
      <c r="AB27" s="103">
        <f t="shared" si="16"/>
        <v>0</v>
      </c>
      <c r="AC27" s="103">
        <f t="shared" si="17"/>
        <v>0</v>
      </c>
      <c r="AD27" s="103">
        <f t="shared" si="18"/>
        <v>0</v>
      </c>
      <c r="AE27" s="123">
        <f t="shared" si="5"/>
        <v>0</v>
      </c>
    </row>
    <row r="28" spans="1:31">
      <c r="A28" s="101" t="s">
        <v>136</v>
      </c>
      <c r="B28" s="101" t="s">
        <v>59</v>
      </c>
      <c r="C28" s="107">
        <v>2</v>
      </c>
      <c r="D28" s="103">
        <f t="shared" ref="D28:P28" si="23">D13*0.55</f>
        <v>103950.00000000001</v>
      </c>
      <c r="E28" s="103">
        <f t="shared" si="23"/>
        <v>0</v>
      </c>
      <c r="F28" s="103">
        <f t="shared" si="23"/>
        <v>0</v>
      </c>
      <c r="G28" s="103">
        <f t="shared" si="23"/>
        <v>0</v>
      </c>
      <c r="H28" s="103">
        <f t="shared" si="23"/>
        <v>0</v>
      </c>
      <c r="I28" s="103">
        <f t="shared" si="23"/>
        <v>0</v>
      </c>
      <c r="J28" s="103">
        <f t="shared" si="23"/>
        <v>0</v>
      </c>
      <c r="K28" s="103">
        <f t="shared" si="23"/>
        <v>15592.500000000002</v>
      </c>
      <c r="L28" s="103">
        <f t="shared" si="23"/>
        <v>17671.500000000004</v>
      </c>
      <c r="M28" s="103">
        <f t="shared" si="23"/>
        <v>20790</v>
      </c>
      <c r="N28" s="103">
        <f t="shared" si="23"/>
        <v>20790</v>
      </c>
      <c r="O28" s="103">
        <f t="shared" si="23"/>
        <v>18711</v>
      </c>
      <c r="P28" s="103">
        <f t="shared" si="23"/>
        <v>10395</v>
      </c>
      <c r="R28" s="103">
        <f t="shared" si="7"/>
        <v>23388.75</v>
      </c>
      <c r="S28" s="103">
        <f t="shared" si="3"/>
        <v>0</v>
      </c>
      <c r="T28" s="103">
        <f t="shared" si="8"/>
        <v>0</v>
      </c>
      <c r="U28" s="103">
        <f t="shared" si="9"/>
        <v>0</v>
      </c>
      <c r="V28" s="103">
        <f t="shared" si="10"/>
        <v>0</v>
      </c>
      <c r="W28" s="103">
        <f t="shared" si="11"/>
        <v>0</v>
      </c>
      <c r="X28" s="103">
        <f t="shared" si="12"/>
        <v>0</v>
      </c>
      <c r="Y28" s="103">
        <f t="shared" si="13"/>
        <v>3508.3125000000005</v>
      </c>
      <c r="Z28" s="103">
        <f t="shared" si="14"/>
        <v>3976.087500000001</v>
      </c>
      <c r="AA28" s="103">
        <f t="shared" si="15"/>
        <v>4677.75</v>
      </c>
      <c r="AB28" s="103">
        <f t="shared" si="16"/>
        <v>4677.75</v>
      </c>
      <c r="AC28" s="103">
        <f t="shared" si="17"/>
        <v>4209.9750000000004</v>
      </c>
      <c r="AD28" s="103">
        <f t="shared" si="18"/>
        <v>2338.875</v>
      </c>
      <c r="AE28" s="123">
        <f t="shared" si="5"/>
        <v>25987.500000000004</v>
      </c>
    </row>
    <row r="29" spans="1:31">
      <c r="A29" s="101" t="s">
        <v>136</v>
      </c>
      <c r="B29" s="101" t="s">
        <v>149</v>
      </c>
      <c r="C29" s="107">
        <v>2</v>
      </c>
      <c r="D29" s="103">
        <f>D14*0.55</f>
        <v>103950.00000000001</v>
      </c>
      <c r="E29" s="103"/>
      <c r="F29" s="103"/>
      <c r="G29" s="103"/>
      <c r="H29" s="103"/>
      <c r="I29" s="103"/>
      <c r="J29" s="103"/>
      <c r="K29" s="103">
        <f t="shared" ref="K29:P30" si="24">K14*0.55</f>
        <v>15592.500000000002</v>
      </c>
      <c r="L29" s="103">
        <f t="shared" si="24"/>
        <v>17671.500000000004</v>
      </c>
      <c r="M29" s="103">
        <f t="shared" si="24"/>
        <v>20790</v>
      </c>
      <c r="N29" s="103">
        <f t="shared" si="24"/>
        <v>20790</v>
      </c>
      <c r="O29" s="103">
        <f t="shared" si="24"/>
        <v>18711</v>
      </c>
      <c r="P29" s="103">
        <f t="shared" si="24"/>
        <v>10395</v>
      </c>
      <c r="R29" s="103">
        <f t="shared" si="7"/>
        <v>23388.75</v>
      </c>
      <c r="S29" s="103">
        <f t="shared" ref="S29:S30" si="25">E29*22.5%</f>
        <v>0</v>
      </c>
      <c r="T29" s="103">
        <f t="shared" ref="T29:T31" si="26">F29*22.5%</f>
        <v>0</v>
      </c>
      <c r="U29" s="103">
        <f t="shared" ref="U29:U31" si="27">G29*22.5%</f>
        <v>0</v>
      </c>
      <c r="V29" s="103">
        <f t="shared" ref="V29:V31" si="28">H29*22.5%</f>
        <v>0</v>
      </c>
      <c r="W29" s="103">
        <f t="shared" ref="W29:W31" si="29">I29*22.5%</f>
        <v>0</v>
      </c>
      <c r="X29" s="103">
        <f t="shared" ref="X29:X31" si="30">J29*22.5%</f>
        <v>0</v>
      </c>
      <c r="Y29" s="103">
        <f t="shared" ref="Y29:Y31" si="31">K29*22.5%</f>
        <v>3508.3125000000005</v>
      </c>
      <c r="Z29" s="103">
        <f t="shared" ref="Z29:Z31" si="32">L29*22.5%</f>
        <v>3976.087500000001</v>
      </c>
      <c r="AA29" s="103">
        <f t="shared" ref="AA29:AA31" si="33">M29*22.5%</f>
        <v>4677.75</v>
      </c>
      <c r="AB29" s="103">
        <f t="shared" ref="AB29:AB31" si="34">N29*22.5%</f>
        <v>4677.75</v>
      </c>
      <c r="AC29" s="103">
        <f t="shared" ref="AC29:AC31" si="35">O29*22.5%</f>
        <v>4209.9750000000004</v>
      </c>
      <c r="AD29" s="103">
        <f t="shared" ref="AD29:AD31" si="36">P29*22.5%</f>
        <v>2338.875</v>
      </c>
      <c r="AE29" s="123">
        <f t="shared" si="5"/>
        <v>25987.500000000004</v>
      </c>
    </row>
    <row r="30" spans="1:31">
      <c r="A30" s="101" t="s">
        <v>136</v>
      </c>
      <c r="B30" s="101" t="s">
        <v>150</v>
      </c>
      <c r="C30" s="107">
        <v>3</v>
      </c>
      <c r="D30" s="103">
        <f>D15*0.55</f>
        <v>155925</v>
      </c>
      <c r="E30" s="103"/>
      <c r="F30" s="103"/>
      <c r="G30" s="103"/>
      <c r="H30" s="103"/>
      <c r="I30" s="103"/>
      <c r="J30" s="103"/>
      <c r="K30" s="103">
        <f t="shared" si="24"/>
        <v>23388.750000000004</v>
      </c>
      <c r="L30" s="103">
        <f t="shared" si="24"/>
        <v>26507.250000000004</v>
      </c>
      <c r="M30" s="103">
        <f t="shared" si="24"/>
        <v>31185.000000000004</v>
      </c>
      <c r="N30" s="103">
        <f t="shared" si="24"/>
        <v>31185.000000000004</v>
      </c>
      <c r="O30" s="103">
        <f t="shared" si="24"/>
        <v>28066.500000000004</v>
      </c>
      <c r="P30" s="103">
        <f t="shared" si="24"/>
        <v>15592.500000000002</v>
      </c>
      <c r="R30" s="103">
        <f t="shared" si="7"/>
        <v>35083.125000000007</v>
      </c>
      <c r="S30" s="103">
        <f t="shared" si="25"/>
        <v>0</v>
      </c>
      <c r="T30" s="103">
        <f t="shared" si="26"/>
        <v>0</v>
      </c>
      <c r="U30" s="103">
        <f t="shared" si="27"/>
        <v>0</v>
      </c>
      <c r="V30" s="103">
        <f t="shared" si="28"/>
        <v>0</v>
      </c>
      <c r="W30" s="103">
        <f t="shared" si="29"/>
        <v>0</v>
      </c>
      <c r="X30" s="103">
        <f t="shared" si="30"/>
        <v>0</v>
      </c>
      <c r="Y30" s="103">
        <f t="shared" si="31"/>
        <v>5262.4687500000009</v>
      </c>
      <c r="Z30" s="103">
        <f t="shared" si="32"/>
        <v>5964.1312500000013</v>
      </c>
      <c r="AA30" s="103">
        <f t="shared" si="33"/>
        <v>7016.6250000000009</v>
      </c>
      <c r="AB30" s="103">
        <f t="shared" si="34"/>
        <v>7016.6250000000009</v>
      </c>
      <c r="AC30" s="103">
        <f t="shared" si="35"/>
        <v>6314.9625000000005</v>
      </c>
      <c r="AD30" s="103">
        <f t="shared" si="36"/>
        <v>3508.3125000000005</v>
      </c>
      <c r="AE30" s="123">
        <f t="shared" si="5"/>
        <v>38981.25</v>
      </c>
    </row>
    <row r="31" spans="1:31">
      <c r="A31" s="101" t="s">
        <v>136</v>
      </c>
      <c r="B31" s="106" t="s">
        <v>155</v>
      </c>
      <c r="C31" s="107">
        <v>1</v>
      </c>
      <c r="D31" s="103">
        <f>D16*0.5</f>
        <v>94500</v>
      </c>
      <c r="E31" s="103">
        <f>E16*0.5</f>
        <v>7560</v>
      </c>
      <c r="F31" s="103">
        <f>F16*0.5</f>
        <v>6142.5</v>
      </c>
      <c r="G31" s="103">
        <f>G16*0.5</f>
        <v>14175</v>
      </c>
      <c r="H31" s="103">
        <f>H16*0.5</f>
        <v>5197.5</v>
      </c>
      <c r="I31" s="103">
        <f>I16*0.5</f>
        <v>9450</v>
      </c>
      <c r="J31" s="103">
        <f>J16*0.5</f>
        <v>9450</v>
      </c>
      <c r="K31" s="103">
        <f>K16*0.5</f>
        <v>8032.5000000000009</v>
      </c>
      <c r="L31" s="103">
        <f>L16*0.5</f>
        <v>6142.5</v>
      </c>
      <c r="M31" s="103">
        <f>M16*0.5</f>
        <v>7087.5</v>
      </c>
      <c r="N31" s="103">
        <f>N16*0.5</f>
        <v>7560</v>
      </c>
      <c r="O31" s="103">
        <f>O16*0.5</f>
        <v>5670</v>
      </c>
      <c r="P31" s="103">
        <f>P16*0.5</f>
        <v>8032.5000000000009</v>
      </c>
      <c r="R31" s="103">
        <f t="shared" si="7"/>
        <v>21262.5</v>
      </c>
      <c r="S31" s="103">
        <f>E31*22.5%</f>
        <v>1701</v>
      </c>
      <c r="T31" s="103">
        <f t="shared" si="26"/>
        <v>1382.0625</v>
      </c>
      <c r="U31" s="103">
        <f t="shared" si="27"/>
        <v>3189.375</v>
      </c>
      <c r="V31" s="103">
        <f t="shared" si="28"/>
        <v>1169.4375</v>
      </c>
      <c r="W31" s="103">
        <f t="shared" si="29"/>
        <v>2126.25</v>
      </c>
      <c r="X31" s="103">
        <f t="shared" si="30"/>
        <v>2126.25</v>
      </c>
      <c r="Y31" s="103">
        <f t="shared" si="31"/>
        <v>1807.3125000000002</v>
      </c>
      <c r="Z31" s="103">
        <f t="shared" si="32"/>
        <v>1382.0625</v>
      </c>
      <c r="AA31" s="103">
        <f t="shared" si="33"/>
        <v>1594.6875</v>
      </c>
      <c r="AB31" s="103">
        <f t="shared" si="34"/>
        <v>1701</v>
      </c>
      <c r="AC31" s="103">
        <f t="shared" si="35"/>
        <v>1275.75</v>
      </c>
      <c r="AD31" s="103">
        <f t="shared" si="36"/>
        <v>1807.3125000000002</v>
      </c>
      <c r="AE31" s="123">
        <f>D31*25%</f>
        <v>23625</v>
      </c>
    </row>
    <row r="32" spans="1:31" s="114" customFormat="1">
      <c r="A32" s="175" t="s">
        <v>0</v>
      </c>
      <c r="B32" s="176"/>
      <c r="C32" s="115">
        <f>SUM(C22:C31)</f>
        <v>12</v>
      </c>
      <c r="D32" s="116">
        <f>SUM(D22:D31)</f>
        <v>779703.75</v>
      </c>
      <c r="E32" s="116">
        <f>SUM(E22:E31)</f>
        <v>17539.199999999997</v>
      </c>
      <c r="F32" s="116">
        <f>SUM(F22:F31)</f>
        <v>22302.393749999999</v>
      </c>
      <c r="G32" s="116">
        <f>SUM(G22:G31)</f>
        <v>61376.962500000001</v>
      </c>
      <c r="H32" s="116">
        <f>SUM(H22:H31)</f>
        <v>18871.256249999999</v>
      </c>
      <c r="I32" s="116">
        <f>SUM(I22:I31)</f>
        <v>34311.375</v>
      </c>
      <c r="J32" s="116">
        <f>SUM(J22:J31)</f>
        <v>34311.375</v>
      </c>
      <c r="K32" s="116">
        <f>SUM(K22:K31)</f>
        <v>94653.168750000012</v>
      </c>
      <c r="L32" s="116">
        <f>SUM(L22:L31)</f>
        <v>96522.693750000006</v>
      </c>
      <c r="M32" s="116">
        <f>SUM(M22:M31)</f>
        <v>113051.53125</v>
      </c>
      <c r="N32" s="116">
        <f>SUM(N22:N31)</f>
        <v>114767.1</v>
      </c>
      <c r="O32" s="116">
        <f>SUM(O22:O31)</f>
        <v>99173.025000000009</v>
      </c>
      <c r="P32" s="116">
        <f>SUM(P22:P31)</f>
        <v>72823.668749999997</v>
      </c>
      <c r="R32" s="124">
        <f t="shared" ref="R32:AE32" si="37">SUM(R22:R31)</f>
        <v>175433.34375</v>
      </c>
      <c r="S32" s="124">
        <f t="shared" si="37"/>
        <v>3946.3199999999997</v>
      </c>
      <c r="T32" s="124">
        <f t="shared" si="37"/>
        <v>5018.0385937500005</v>
      </c>
      <c r="U32" s="124">
        <f t="shared" si="37"/>
        <v>13809.8165625</v>
      </c>
      <c r="V32" s="124">
        <f t="shared" si="37"/>
        <v>4246.0326562500004</v>
      </c>
      <c r="W32" s="124">
        <f t="shared" si="37"/>
        <v>7720.0593750000007</v>
      </c>
      <c r="X32" s="124">
        <f t="shared" si="37"/>
        <v>7720.0593750000007</v>
      </c>
      <c r="Y32" s="124">
        <f t="shared" si="37"/>
        <v>21296.962968750002</v>
      </c>
      <c r="Z32" s="124">
        <f t="shared" si="37"/>
        <v>21717.606093750004</v>
      </c>
      <c r="AA32" s="124">
        <f t="shared" si="37"/>
        <v>25436.594531250001</v>
      </c>
      <c r="AB32" s="124">
        <f t="shared" si="37"/>
        <v>25822.597500000003</v>
      </c>
      <c r="AC32" s="124">
        <f t="shared" si="37"/>
        <v>22313.930625000001</v>
      </c>
      <c r="AD32" s="124">
        <f t="shared" si="37"/>
        <v>16385.325468750001</v>
      </c>
      <c r="AE32" s="125">
        <f t="shared" si="37"/>
        <v>194925.9375</v>
      </c>
    </row>
    <row r="33" spans="1:31" s="114" customFormat="1">
      <c r="A33" s="175" t="s">
        <v>140</v>
      </c>
      <c r="B33" s="176"/>
      <c r="C33" s="115"/>
      <c r="D33" s="116">
        <f>D17/3.95</f>
        <v>358462.02531645569</v>
      </c>
      <c r="E33" s="116">
        <f t="shared" ref="E33:P33" si="38">E17/3.95</f>
        <v>8038.4810126582279</v>
      </c>
      <c r="F33" s="116">
        <f t="shared" si="38"/>
        <v>10237.5</v>
      </c>
      <c r="G33" s="116">
        <f t="shared" si="38"/>
        <v>28186.518987341769</v>
      </c>
      <c r="H33" s="116">
        <f t="shared" si="38"/>
        <v>8662.5</v>
      </c>
      <c r="I33" s="116">
        <f t="shared" si="38"/>
        <v>15750</v>
      </c>
      <c r="J33" s="116">
        <f t="shared" si="38"/>
        <v>15750</v>
      </c>
      <c r="K33" s="116">
        <f t="shared" si="38"/>
        <v>43531.803797468354</v>
      </c>
      <c r="L33" s="116">
        <f t="shared" si="38"/>
        <v>44401.044303797469</v>
      </c>
      <c r="M33" s="116">
        <f t="shared" si="38"/>
        <v>52004.905063291139</v>
      </c>
      <c r="N33" s="116">
        <f t="shared" si="38"/>
        <v>52792.405063291139</v>
      </c>
      <c r="O33" s="116">
        <f t="shared" si="38"/>
        <v>45623.164556962023</v>
      </c>
      <c r="P33" s="116">
        <f t="shared" si="38"/>
        <v>33483.702531645569</v>
      </c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5"/>
    </row>
    <row r="34" spans="1:31">
      <c r="D34" s="126"/>
    </row>
    <row r="35" spans="1:31">
      <c r="D35" s="105"/>
    </row>
  </sheetData>
  <mergeCells count="6">
    <mergeCell ref="D5:P5"/>
    <mergeCell ref="D20:P20"/>
    <mergeCell ref="R20:AD20"/>
    <mergeCell ref="A33:B33"/>
    <mergeCell ref="A32:B32"/>
    <mergeCell ref="A17:B17"/>
  </mergeCells>
  <pageMargins left="0.7" right="0.7" top="0.75" bottom="0.75" header="0.3" footer="0.3"/>
  <pageSetup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6668-8535-40D7-8BCE-CAD8680A5CCB}">
  <dimension ref="A2:AG22"/>
  <sheetViews>
    <sheetView showGridLines="0" workbookViewId="0">
      <selection activeCell="J13" sqref="J13"/>
    </sheetView>
  </sheetViews>
  <sheetFormatPr defaultRowHeight="14.25"/>
  <cols>
    <col min="1" max="1" width="10.796875" bestFit="1" customWidth="1"/>
    <col min="2" max="2" width="10.46484375" bestFit="1" customWidth="1"/>
    <col min="3" max="3" width="10.46484375" customWidth="1"/>
    <col min="4" max="4" width="8.6640625" bestFit="1" customWidth="1"/>
    <col min="5" max="8" width="7.19921875" bestFit="1" customWidth="1"/>
    <col min="9" max="9" width="7.265625" bestFit="1" customWidth="1"/>
    <col min="10" max="16" width="7.19921875" bestFit="1" customWidth="1"/>
    <col min="17" max="17" width="14.46484375" bestFit="1" customWidth="1"/>
    <col min="18" max="18" width="16.06640625" bestFit="1" customWidth="1"/>
    <col min="19" max="19" width="9.86328125" bestFit="1" customWidth="1"/>
    <col min="20" max="20" width="6.6640625" bestFit="1" customWidth="1"/>
    <col min="21" max="21" width="7.06640625" bestFit="1" customWidth="1"/>
    <col min="22" max="22" width="6.6640625" bestFit="1" customWidth="1"/>
    <col min="23" max="23" width="7.265625" bestFit="1" customWidth="1"/>
    <col min="24" max="24" width="6.59765625" bestFit="1" customWidth="1"/>
    <col min="25" max="25" width="6.19921875" bestFit="1" customWidth="1"/>
    <col min="26" max="26" width="7" bestFit="1" customWidth="1"/>
    <col min="27" max="27" width="6.796875" bestFit="1" customWidth="1"/>
    <col min="28" max="28" width="6.59765625" bestFit="1" customWidth="1"/>
    <col min="29" max="29" width="7.06640625" bestFit="1" customWidth="1"/>
    <col min="30" max="30" width="6.796875" bestFit="1" customWidth="1"/>
    <col min="31" max="31" width="14.46484375" bestFit="1" customWidth="1"/>
    <col min="33" max="33" width="12.265625" bestFit="1" customWidth="1"/>
    <col min="34" max="34" width="8.86328125" bestFit="1" customWidth="1"/>
    <col min="35" max="35" width="10.46484375" bestFit="1" customWidth="1"/>
    <col min="36" max="36" width="13.265625" bestFit="1" customWidth="1"/>
    <col min="37" max="37" width="9.3984375" bestFit="1" customWidth="1"/>
  </cols>
  <sheetData>
    <row r="2" spans="1:33">
      <c r="D2" s="172" t="s">
        <v>29</v>
      </c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3" spans="1:33" s="11" customFormat="1">
      <c r="A3" s="17" t="s">
        <v>7</v>
      </c>
      <c r="B3" s="17" t="s">
        <v>5</v>
      </c>
      <c r="C3" s="17" t="s">
        <v>36</v>
      </c>
      <c r="D3" s="17" t="s">
        <v>16</v>
      </c>
      <c r="E3" s="17" t="s">
        <v>17</v>
      </c>
      <c r="F3" s="17" t="s">
        <v>18</v>
      </c>
      <c r="G3" s="17" t="s">
        <v>19</v>
      </c>
      <c r="H3" s="17" t="s">
        <v>20</v>
      </c>
      <c r="I3" s="17" t="s">
        <v>21</v>
      </c>
      <c r="J3" s="17" t="s">
        <v>22</v>
      </c>
      <c r="K3" s="17" t="s">
        <v>23</v>
      </c>
      <c r="L3" s="17" t="s">
        <v>24</v>
      </c>
      <c r="M3" s="17" t="s">
        <v>25</v>
      </c>
      <c r="N3" s="17" t="s">
        <v>26</v>
      </c>
      <c r="O3" s="17" t="s">
        <v>27</v>
      </c>
      <c r="P3" s="17" t="s">
        <v>28</v>
      </c>
    </row>
    <row r="4" spans="1:33">
      <c r="A4" s="7" t="s">
        <v>11</v>
      </c>
      <c r="B4" s="7" t="s">
        <v>3</v>
      </c>
      <c r="C4" s="19">
        <v>1</v>
      </c>
      <c r="D4" s="8">
        <v>228000</v>
      </c>
      <c r="E4" s="8">
        <v>18240</v>
      </c>
      <c r="F4" s="8">
        <v>14820</v>
      </c>
      <c r="G4" s="8">
        <v>34200</v>
      </c>
      <c r="H4" s="8">
        <v>12540</v>
      </c>
      <c r="I4" s="8">
        <v>22800</v>
      </c>
      <c r="J4" s="8">
        <v>22800</v>
      </c>
      <c r="K4" s="8">
        <v>19380</v>
      </c>
      <c r="L4" s="8">
        <v>14820</v>
      </c>
      <c r="M4" s="8">
        <v>17100</v>
      </c>
      <c r="N4" s="8">
        <v>18240</v>
      </c>
      <c r="O4" s="8">
        <v>13680</v>
      </c>
      <c r="P4" s="8">
        <v>19380</v>
      </c>
      <c r="R4">
        <f>D4/950</f>
        <v>240</v>
      </c>
      <c r="S4">
        <f>R4/12</f>
        <v>20</v>
      </c>
    </row>
    <row r="5" spans="1:33">
      <c r="A5" s="7" t="s">
        <v>11</v>
      </c>
      <c r="B5" s="7" t="s">
        <v>4</v>
      </c>
      <c r="C5" s="19">
        <v>1</v>
      </c>
      <c r="D5" s="8">
        <v>228000</v>
      </c>
      <c r="E5" s="8">
        <v>36480</v>
      </c>
      <c r="F5" s="8">
        <v>29640</v>
      </c>
      <c r="G5" s="8">
        <v>68400</v>
      </c>
      <c r="H5" s="8">
        <v>25080</v>
      </c>
      <c r="I5" s="8">
        <v>45600</v>
      </c>
      <c r="J5" s="8">
        <v>45600</v>
      </c>
      <c r="K5" s="8">
        <v>38760</v>
      </c>
      <c r="L5" s="8">
        <v>29640</v>
      </c>
      <c r="M5" s="8">
        <v>34200</v>
      </c>
      <c r="N5" s="8">
        <v>36480</v>
      </c>
      <c r="O5" s="8">
        <v>27360</v>
      </c>
      <c r="P5" s="8">
        <v>38760</v>
      </c>
      <c r="R5">
        <f>D5/950</f>
        <v>240</v>
      </c>
      <c r="S5">
        <f>R5/12</f>
        <v>20</v>
      </c>
    </row>
    <row r="6" spans="1:33">
      <c r="A6" s="7" t="s">
        <v>11</v>
      </c>
      <c r="B6" s="7" t="s">
        <v>6</v>
      </c>
      <c r="C6" s="19">
        <v>1</v>
      </c>
      <c r="D6" s="8">
        <v>456000</v>
      </c>
      <c r="E6" s="8">
        <v>36480</v>
      </c>
      <c r="F6" s="8">
        <v>29640</v>
      </c>
      <c r="G6" s="8">
        <v>68400</v>
      </c>
      <c r="H6" s="8">
        <v>25080</v>
      </c>
      <c r="I6" s="8">
        <v>45600</v>
      </c>
      <c r="J6" s="8">
        <v>45600</v>
      </c>
      <c r="K6" s="8">
        <v>38760</v>
      </c>
      <c r="L6" s="8">
        <v>29640</v>
      </c>
      <c r="M6" s="8">
        <v>34200</v>
      </c>
      <c r="N6" s="8">
        <v>36480</v>
      </c>
      <c r="O6" s="8">
        <v>27360</v>
      </c>
      <c r="P6" s="8">
        <v>38760</v>
      </c>
      <c r="R6">
        <f>D6/950</f>
        <v>480</v>
      </c>
      <c r="S6">
        <f>R6/12</f>
        <v>40</v>
      </c>
    </row>
    <row r="7" spans="1:33" s="16" customFormat="1">
      <c r="A7" s="178" t="s">
        <v>12</v>
      </c>
      <c r="B7" s="179"/>
      <c r="C7" s="18">
        <f>SUM(C4:C6)</f>
        <v>3</v>
      </c>
      <c r="D7" s="12">
        <f>SUM(D4:D6)</f>
        <v>912000</v>
      </c>
      <c r="E7" s="12">
        <f t="shared" ref="E7:P7" si="0">SUM(E4:E6)</f>
        <v>91200</v>
      </c>
      <c r="F7" s="12">
        <f t="shared" si="0"/>
        <v>74100</v>
      </c>
      <c r="G7" s="12">
        <f t="shared" si="0"/>
        <v>171000</v>
      </c>
      <c r="H7" s="12">
        <f t="shared" si="0"/>
        <v>62700</v>
      </c>
      <c r="I7" s="12">
        <f t="shared" si="0"/>
        <v>114000</v>
      </c>
      <c r="J7" s="12">
        <f t="shared" si="0"/>
        <v>114000</v>
      </c>
      <c r="K7" s="12">
        <f t="shared" si="0"/>
        <v>96900</v>
      </c>
      <c r="L7" s="12">
        <f t="shared" si="0"/>
        <v>74100</v>
      </c>
      <c r="M7" s="12">
        <f t="shared" si="0"/>
        <v>85500</v>
      </c>
      <c r="N7" s="12">
        <f t="shared" si="0"/>
        <v>91200</v>
      </c>
      <c r="O7" s="12">
        <f t="shared" si="0"/>
        <v>68400</v>
      </c>
      <c r="P7" s="12">
        <f t="shared" si="0"/>
        <v>96900</v>
      </c>
    </row>
    <row r="8" spans="1:33">
      <c r="E8">
        <f>E7/4.96</f>
        <v>18387.096774193549</v>
      </c>
      <c r="F8">
        <f t="shared" ref="F8:P8" si="1">F7/4.96</f>
        <v>14939.516129032258</v>
      </c>
      <c r="G8">
        <f t="shared" si="1"/>
        <v>34475.806451612902</v>
      </c>
      <c r="H8">
        <f t="shared" si="1"/>
        <v>12641.129032258064</v>
      </c>
      <c r="I8">
        <f t="shared" si="1"/>
        <v>22983.870967741936</v>
      </c>
      <c r="J8">
        <f t="shared" si="1"/>
        <v>22983.870967741936</v>
      </c>
      <c r="K8">
        <f t="shared" si="1"/>
        <v>19536.290322580644</v>
      </c>
      <c r="L8">
        <f t="shared" si="1"/>
        <v>14939.516129032258</v>
      </c>
      <c r="M8">
        <f t="shared" si="1"/>
        <v>17237.903225806451</v>
      </c>
      <c r="N8">
        <f t="shared" si="1"/>
        <v>18387.096774193549</v>
      </c>
      <c r="O8">
        <f t="shared" si="1"/>
        <v>13790.322580645161</v>
      </c>
      <c r="P8">
        <f t="shared" si="1"/>
        <v>19536.290322580644</v>
      </c>
    </row>
    <row r="9" spans="1:33">
      <c r="D9" t="s">
        <v>52</v>
      </c>
      <c r="E9" s="16">
        <f>E8/4.4</f>
        <v>4178.8856304985338</v>
      </c>
      <c r="F9" s="16">
        <f t="shared" ref="F9:P9" si="2">F8/4.4</f>
        <v>3395.3445747800583</v>
      </c>
      <c r="G9" s="16">
        <f t="shared" si="2"/>
        <v>7835.4105571847495</v>
      </c>
      <c r="H9" s="16">
        <f t="shared" si="2"/>
        <v>2872.9838709677415</v>
      </c>
      <c r="I9" s="16">
        <f t="shared" si="2"/>
        <v>5223.6070381231666</v>
      </c>
      <c r="J9" s="16">
        <f t="shared" si="2"/>
        <v>5223.6070381231666</v>
      </c>
      <c r="K9" s="16">
        <f t="shared" si="2"/>
        <v>4440.0659824046916</v>
      </c>
      <c r="L9" s="16">
        <f t="shared" si="2"/>
        <v>3395.3445747800583</v>
      </c>
      <c r="M9" s="16">
        <f t="shared" si="2"/>
        <v>3917.7052785923747</v>
      </c>
      <c r="N9" s="16">
        <f t="shared" si="2"/>
        <v>4178.8856304985338</v>
      </c>
      <c r="O9" s="16">
        <f t="shared" si="2"/>
        <v>3134.1642228739001</v>
      </c>
      <c r="P9" s="16">
        <f t="shared" si="2"/>
        <v>4440.0659824046916</v>
      </c>
    </row>
    <row r="10" spans="1:33">
      <c r="D10" s="172" t="s">
        <v>30</v>
      </c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</row>
    <row r="11" spans="1:33" s="13" customFormat="1">
      <c r="A11" s="17" t="s">
        <v>7</v>
      </c>
      <c r="B11" s="17" t="s">
        <v>5</v>
      </c>
      <c r="C11" s="17" t="s">
        <v>36</v>
      </c>
      <c r="D11" s="17" t="s">
        <v>16</v>
      </c>
      <c r="E11" s="17" t="s">
        <v>37</v>
      </c>
      <c r="F11" s="17" t="s">
        <v>38</v>
      </c>
      <c r="G11" s="17" t="s">
        <v>39</v>
      </c>
      <c r="H11" s="17" t="s">
        <v>40</v>
      </c>
      <c r="I11" s="17" t="s">
        <v>41</v>
      </c>
      <c r="J11" s="17" t="s">
        <v>42</v>
      </c>
      <c r="K11" s="17" t="s">
        <v>43</v>
      </c>
      <c r="L11" s="17" t="s">
        <v>44</v>
      </c>
      <c r="M11" s="17" t="s">
        <v>45</v>
      </c>
      <c r="N11" s="17" t="s">
        <v>46</v>
      </c>
      <c r="O11" s="17" t="s">
        <v>47</v>
      </c>
      <c r="P11" s="17" t="s">
        <v>48</v>
      </c>
      <c r="Q11" s="13" t="s">
        <v>50</v>
      </c>
      <c r="R11" t="s">
        <v>49</v>
      </c>
    </row>
    <row r="12" spans="1:33">
      <c r="A12" s="7" t="s">
        <v>11</v>
      </c>
      <c r="B12" s="7" t="s">
        <v>3</v>
      </c>
      <c r="C12" s="19">
        <v>1</v>
      </c>
      <c r="D12" s="8">
        <v>125400</v>
      </c>
      <c r="E12" s="8">
        <v>10032</v>
      </c>
      <c r="F12" s="8">
        <v>8151</v>
      </c>
      <c r="G12" s="8">
        <v>18810</v>
      </c>
      <c r="H12" s="8">
        <v>6897</v>
      </c>
      <c r="I12" s="8">
        <v>12540</v>
      </c>
      <c r="J12" s="8">
        <v>12540</v>
      </c>
      <c r="K12" s="8">
        <v>10659</v>
      </c>
      <c r="L12" s="8">
        <v>8151</v>
      </c>
      <c r="M12" s="8">
        <v>9405</v>
      </c>
      <c r="N12" s="8">
        <v>10032</v>
      </c>
      <c r="O12" s="8">
        <v>7524</v>
      </c>
      <c r="P12" s="8">
        <v>10659</v>
      </c>
      <c r="Q12" s="13">
        <v>42099.432211605039</v>
      </c>
      <c r="R12" s="20">
        <v>52000</v>
      </c>
      <c r="S12" s="21">
        <f>R12-17000</f>
        <v>35000</v>
      </c>
    </row>
    <row r="13" spans="1:33">
      <c r="A13" s="7" t="s">
        <v>11</v>
      </c>
      <c r="B13" s="7" t="s">
        <v>4</v>
      </c>
      <c r="C13" s="19">
        <v>1</v>
      </c>
      <c r="D13" s="8">
        <v>125400</v>
      </c>
      <c r="E13" s="8">
        <v>10032</v>
      </c>
      <c r="F13" s="8">
        <v>8151</v>
      </c>
      <c r="G13" s="8">
        <v>18810</v>
      </c>
      <c r="H13" s="8">
        <v>6897</v>
      </c>
      <c r="I13" s="8">
        <v>12540</v>
      </c>
      <c r="J13" s="8">
        <v>12540</v>
      </c>
      <c r="K13" s="8">
        <v>10659</v>
      </c>
      <c r="L13" s="8">
        <v>8151</v>
      </c>
      <c r="M13" s="8">
        <v>9405</v>
      </c>
      <c r="N13" s="8">
        <v>10032</v>
      </c>
      <c r="O13" s="8">
        <v>7524</v>
      </c>
      <c r="P13" s="8">
        <v>10659</v>
      </c>
    </row>
    <row r="14" spans="1:33">
      <c r="A14" s="7" t="s">
        <v>11</v>
      </c>
      <c r="B14" s="7" t="s">
        <v>6</v>
      </c>
      <c r="C14" s="19">
        <v>1</v>
      </c>
      <c r="D14" s="8">
        <v>237120.00000000003</v>
      </c>
      <c r="E14" s="8">
        <v>18969.600000000002</v>
      </c>
      <c r="F14" s="8">
        <v>15412.800000000001</v>
      </c>
      <c r="G14" s="8">
        <v>35568</v>
      </c>
      <c r="H14" s="8">
        <v>13041.6</v>
      </c>
      <c r="I14" s="8">
        <v>23712</v>
      </c>
      <c r="J14" s="8">
        <v>23712</v>
      </c>
      <c r="K14" s="8">
        <v>20155.2</v>
      </c>
      <c r="L14" s="8">
        <v>15412.800000000001</v>
      </c>
      <c r="M14" s="8">
        <v>17784</v>
      </c>
      <c r="N14" s="8">
        <v>18969.600000000002</v>
      </c>
      <c r="O14" s="8">
        <v>14227.2</v>
      </c>
      <c r="P14" s="8">
        <v>20155.2</v>
      </c>
    </row>
    <row r="15" spans="1:33" s="13" customFormat="1">
      <c r="A15" s="178" t="s">
        <v>12</v>
      </c>
      <c r="B15" s="179"/>
      <c r="C15" s="18">
        <f>SUM(C12:C14)</f>
        <v>3</v>
      </c>
      <c r="D15" s="12">
        <f>SUM(D12:D14)</f>
        <v>487920</v>
      </c>
      <c r="E15" s="12">
        <f t="shared" ref="E15:P15" si="3">SUM(E12:E14)</f>
        <v>39033.600000000006</v>
      </c>
      <c r="F15" s="12">
        <f t="shared" si="3"/>
        <v>31714.800000000003</v>
      </c>
      <c r="G15" s="12">
        <f t="shared" si="3"/>
        <v>73188</v>
      </c>
      <c r="H15" s="12">
        <f t="shared" si="3"/>
        <v>26835.599999999999</v>
      </c>
      <c r="I15" s="12">
        <f t="shared" si="3"/>
        <v>48792</v>
      </c>
      <c r="J15" s="12">
        <f t="shared" si="3"/>
        <v>48792</v>
      </c>
      <c r="K15" s="12">
        <f t="shared" si="3"/>
        <v>41473.199999999997</v>
      </c>
      <c r="L15" s="12">
        <f t="shared" si="3"/>
        <v>31714.800000000003</v>
      </c>
      <c r="M15" s="12">
        <f t="shared" si="3"/>
        <v>36594</v>
      </c>
      <c r="N15" s="12">
        <f t="shared" si="3"/>
        <v>39033.600000000006</v>
      </c>
      <c r="O15" s="12">
        <f t="shared" si="3"/>
        <v>29275.200000000001</v>
      </c>
      <c r="P15" s="12">
        <f t="shared" si="3"/>
        <v>41473.199999999997</v>
      </c>
      <c r="AG15" s="20"/>
    </row>
    <row r="17" spans="1:17">
      <c r="D17" s="172" t="s">
        <v>31</v>
      </c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</row>
    <row r="18" spans="1:17">
      <c r="A18" s="17" t="s">
        <v>7</v>
      </c>
      <c r="B18" s="17" t="s">
        <v>5</v>
      </c>
      <c r="C18" s="17" t="s">
        <v>36</v>
      </c>
      <c r="D18" s="17" t="s">
        <v>16</v>
      </c>
      <c r="E18" s="17" t="s">
        <v>37</v>
      </c>
      <c r="F18" s="17" t="s">
        <v>38</v>
      </c>
      <c r="G18" s="17" t="s">
        <v>39</v>
      </c>
      <c r="H18" s="17" t="s">
        <v>40</v>
      </c>
      <c r="I18" s="17" t="s">
        <v>41</v>
      </c>
      <c r="J18" s="17" t="s">
        <v>42</v>
      </c>
      <c r="K18" s="17" t="s">
        <v>43</v>
      </c>
      <c r="L18" s="17" t="s">
        <v>44</v>
      </c>
      <c r="M18" s="17" t="s">
        <v>45</v>
      </c>
      <c r="N18" s="17" t="s">
        <v>46</v>
      </c>
      <c r="O18" s="17" t="s">
        <v>47</v>
      </c>
      <c r="P18" s="17" t="s">
        <v>48</v>
      </c>
      <c r="Q18" s="17" t="s">
        <v>33</v>
      </c>
    </row>
    <row r="19" spans="1:17">
      <c r="A19" s="7" t="s">
        <v>11</v>
      </c>
      <c r="B19" s="7" t="s">
        <v>3</v>
      </c>
      <c r="C19" s="19">
        <v>1</v>
      </c>
      <c r="D19" s="8">
        <f>SUM(E19:P19)</f>
        <v>31350</v>
      </c>
      <c r="E19" s="8">
        <f t="shared" ref="E19:P19" si="4">E12*25%</f>
        <v>2508</v>
      </c>
      <c r="F19" s="8">
        <f t="shared" si="4"/>
        <v>2037.75</v>
      </c>
      <c r="G19" s="8">
        <f t="shared" si="4"/>
        <v>4702.5</v>
      </c>
      <c r="H19" s="8">
        <f t="shared" si="4"/>
        <v>1724.25</v>
      </c>
      <c r="I19" s="8">
        <f t="shared" si="4"/>
        <v>3135</v>
      </c>
      <c r="J19" s="8">
        <f t="shared" si="4"/>
        <v>3135</v>
      </c>
      <c r="K19" s="8">
        <f t="shared" si="4"/>
        <v>2664.75</v>
      </c>
      <c r="L19" s="8">
        <f t="shared" si="4"/>
        <v>2037.75</v>
      </c>
      <c r="M19" s="8">
        <f t="shared" si="4"/>
        <v>2351.25</v>
      </c>
      <c r="N19" s="8">
        <f t="shared" si="4"/>
        <v>2508</v>
      </c>
      <c r="O19" s="8">
        <f t="shared" si="4"/>
        <v>1881</v>
      </c>
      <c r="P19" s="8">
        <f t="shared" si="4"/>
        <v>2664.75</v>
      </c>
      <c r="Q19" s="8">
        <f>D12*28%</f>
        <v>35112</v>
      </c>
    </row>
    <row r="20" spans="1:17">
      <c r="A20" s="7" t="s">
        <v>11</v>
      </c>
      <c r="B20" s="7" t="s">
        <v>4</v>
      </c>
      <c r="C20" s="19">
        <v>1</v>
      </c>
      <c r="D20" s="8">
        <f>SUM(E20:P20)</f>
        <v>31350</v>
      </c>
      <c r="E20" s="8">
        <f t="shared" ref="E20:P20" si="5">E13*25%</f>
        <v>2508</v>
      </c>
      <c r="F20" s="8">
        <f t="shared" si="5"/>
        <v>2037.75</v>
      </c>
      <c r="G20" s="8">
        <f t="shared" si="5"/>
        <v>4702.5</v>
      </c>
      <c r="H20" s="8">
        <f t="shared" si="5"/>
        <v>1724.25</v>
      </c>
      <c r="I20" s="8">
        <f t="shared" si="5"/>
        <v>3135</v>
      </c>
      <c r="J20" s="8">
        <f t="shared" si="5"/>
        <v>3135</v>
      </c>
      <c r="K20" s="8">
        <f t="shared" si="5"/>
        <v>2664.75</v>
      </c>
      <c r="L20" s="8">
        <f t="shared" si="5"/>
        <v>2037.75</v>
      </c>
      <c r="M20" s="8">
        <f t="shared" si="5"/>
        <v>2351.25</v>
      </c>
      <c r="N20" s="8">
        <f t="shared" si="5"/>
        <v>2508</v>
      </c>
      <c r="O20" s="8">
        <f t="shared" si="5"/>
        <v>1881</v>
      </c>
      <c r="P20" s="8">
        <f t="shared" si="5"/>
        <v>2664.75</v>
      </c>
      <c r="Q20" s="8">
        <f>D13*28%</f>
        <v>35112</v>
      </c>
    </row>
    <row r="21" spans="1:17">
      <c r="A21" s="7" t="s">
        <v>11</v>
      </c>
      <c r="B21" s="7" t="s">
        <v>6</v>
      </c>
      <c r="C21" s="19">
        <v>1</v>
      </c>
      <c r="D21" s="8">
        <f>SUM(E21:P21)</f>
        <v>59280.000000000007</v>
      </c>
      <c r="E21" s="8">
        <f t="shared" ref="E21:P21" si="6">E14*25%</f>
        <v>4742.4000000000005</v>
      </c>
      <c r="F21" s="8">
        <f t="shared" si="6"/>
        <v>3853.2000000000003</v>
      </c>
      <c r="G21" s="8">
        <f t="shared" si="6"/>
        <v>8892</v>
      </c>
      <c r="H21" s="8">
        <f t="shared" si="6"/>
        <v>3260.4</v>
      </c>
      <c r="I21" s="8">
        <f t="shared" si="6"/>
        <v>5928</v>
      </c>
      <c r="J21" s="8">
        <f t="shared" si="6"/>
        <v>5928</v>
      </c>
      <c r="K21" s="8">
        <f t="shared" si="6"/>
        <v>5038.8</v>
      </c>
      <c r="L21" s="8">
        <f t="shared" si="6"/>
        <v>3853.2000000000003</v>
      </c>
      <c r="M21" s="8">
        <f t="shared" si="6"/>
        <v>4446</v>
      </c>
      <c r="N21" s="8">
        <f t="shared" si="6"/>
        <v>4742.4000000000005</v>
      </c>
      <c r="O21" s="8">
        <f t="shared" si="6"/>
        <v>3556.8</v>
      </c>
      <c r="P21" s="8">
        <f t="shared" si="6"/>
        <v>5038.8</v>
      </c>
      <c r="Q21" s="8">
        <f>D14*28%</f>
        <v>66393.60000000002</v>
      </c>
    </row>
    <row r="22" spans="1:17">
      <c r="A22" s="178" t="s">
        <v>12</v>
      </c>
      <c r="B22" s="179"/>
      <c r="C22" s="18">
        <f>SUM(C19:C21)</f>
        <v>3</v>
      </c>
      <c r="D22" s="12">
        <f>SUM(E22:P22)</f>
        <v>121980</v>
      </c>
      <c r="E22" s="12">
        <f>SUM(E19:E21)</f>
        <v>9758.4000000000015</v>
      </c>
      <c r="F22" s="12">
        <f t="shared" ref="F22:P22" si="7">SUM(F19:F21)</f>
        <v>7928.7000000000007</v>
      </c>
      <c r="G22" s="12">
        <f t="shared" si="7"/>
        <v>18297</v>
      </c>
      <c r="H22" s="12">
        <f t="shared" si="7"/>
        <v>6708.9</v>
      </c>
      <c r="I22" s="12">
        <f t="shared" si="7"/>
        <v>12198</v>
      </c>
      <c r="J22" s="12">
        <f t="shared" si="7"/>
        <v>12198</v>
      </c>
      <c r="K22" s="12">
        <f t="shared" si="7"/>
        <v>10368.299999999999</v>
      </c>
      <c r="L22" s="12">
        <f t="shared" si="7"/>
        <v>7928.7000000000007</v>
      </c>
      <c r="M22" s="12">
        <f t="shared" si="7"/>
        <v>9148.5</v>
      </c>
      <c r="N22" s="12">
        <f t="shared" si="7"/>
        <v>9758.4000000000015</v>
      </c>
      <c r="O22" s="12">
        <f t="shared" si="7"/>
        <v>7318.8</v>
      </c>
      <c r="P22" s="12">
        <f t="shared" si="7"/>
        <v>10368.299999999999</v>
      </c>
      <c r="Q22" s="12">
        <f>SUM(Q19:Q21)</f>
        <v>136617.60000000003</v>
      </c>
    </row>
  </sheetData>
  <mergeCells count="6">
    <mergeCell ref="D17:P17"/>
    <mergeCell ref="A15:B15"/>
    <mergeCell ref="A22:B22"/>
    <mergeCell ref="D2:P2"/>
    <mergeCell ref="A7:B7"/>
    <mergeCell ref="D10:P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DBD8-8159-42F4-A11A-7884038DB4FF}">
  <sheetPr>
    <tabColor theme="8"/>
  </sheetPr>
  <dimension ref="A1:AMH77"/>
  <sheetViews>
    <sheetView showGridLines="0" zoomScale="70" zoomScaleNormal="70" workbookViewId="0">
      <pane ySplit="3" topLeftCell="A13" activePane="bottomLeft" state="frozen"/>
      <selection pane="bottomLeft" activeCell="AMG18" sqref="AMG18"/>
    </sheetView>
  </sheetViews>
  <sheetFormatPr defaultRowHeight="14.25"/>
  <cols>
    <col min="1" max="1" width="3.46484375" customWidth="1"/>
    <col min="2" max="2" width="20" bestFit="1" customWidth="1"/>
    <col min="3" max="3" width="19.3984375" bestFit="1" customWidth="1"/>
    <col min="4" max="5" width="11.86328125" customWidth="1"/>
    <col min="6" max="6" width="19.6640625" bestFit="1" customWidth="1"/>
    <col min="7" max="9" width="11.86328125" customWidth="1"/>
    <col min="10" max="10" width="20.6640625" bestFit="1" customWidth="1"/>
    <col min="11" max="16" width="11.86328125" customWidth="1"/>
    <col min="17" max="17" width="13.86328125" bestFit="1" customWidth="1"/>
    <col min="18" max="18" width="10.46484375" bestFit="1" customWidth="1"/>
    <col min="19" max="19" width="4.46484375" bestFit="1" customWidth="1"/>
    <col min="20" max="20" width="8.6640625" bestFit="1" customWidth="1"/>
    <col min="21" max="24" width="7.19921875" bestFit="1" customWidth="1"/>
    <col min="25" max="25" width="7.265625" bestFit="1" customWidth="1"/>
    <col min="26" max="32" width="7.19921875" bestFit="1" customWidth="1"/>
  </cols>
  <sheetData>
    <row r="1" spans="1:1022" ht="33.6" customHeight="1"/>
    <row r="2" spans="1:1022" ht="14.65" thickBot="1">
      <c r="D2" s="148" t="s">
        <v>82</v>
      </c>
      <c r="E2" s="149"/>
      <c r="F2" s="148" t="s">
        <v>85</v>
      </c>
      <c r="G2" s="148" t="s">
        <v>78</v>
      </c>
      <c r="H2" s="149"/>
      <c r="I2" s="148" t="s">
        <v>148</v>
      </c>
      <c r="J2" s="148" t="s">
        <v>88</v>
      </c>
      <c r="K2" s="31"/>
      <c r="L2" s="31"/>
      <c r="M2" s="31"/>
      <c r="N2" s="31"/>
      <c r="O2" s="31"/>
      <c r="P2" s="31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</row>
    <row r="3" spans="1:1022" s="141" customFormat="1" ht="14.65" thickBot="1">
      <c r="A3" s="35"/>
      <c r="B3" s="138" t="s">
        <v>5</v>
      </c>
      <c r="C3" s="139" t="s">
        <v>80</v>
      </c>
      <c r="D3" s="139" t="s">
        <v>16</v>
      </c>
      <c r="E3" s="139" t="s">
        <v>37</v>
      </c>
      <c r="F3" s="139" t="s">
        <v>38</v>
      </c>
      <c r="G3" s="139" t="s">
        <v>39</v>
      </c>
      <c r="H3" s="139" t="s">
        <v>40</v>
      </c>
      <c r="I3" s="139" t="s">
        <v>41</v>
      </c>
      <c r="J3" s="139" t="s">
        <v>42</v>
      </c>
      <c r="K3" s="139" t="s">
        <v>43</v>
      </c>
      <c r="L3" s="139" t="s">
        <v>44</v>
      </c>
      <c r="M3" s="139" t="s">
        <v>45</v>
      </c>
      <c r="N3" s="139" t="s">
        <v>46</v>
      </c>
      <c r="O3" s="139" t="s">
        <v>47</v>
      </c>
      <c r="P3" s="140" t="s">
        <v>48</v>
      </c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</row>
    <row r="4" spans="1:1022">
      <c r="B4" s="183" t="s">
        <v>93</v>
      </c>
      <c r="C4" s="142" t="s">
        <v>75</v>
      </c>
      <c r="D4" s="143">
        <f t="shared" ref="D4" si="0">SUM(E4:P4)</f>
        <v>225225</v>
      </c>
      <c r="E4" s="143"/>
      <c r="F4" s="143">
        <v>14639.625</v>
      </c>
      <c r="G4" s="143">
        <v>51801.75</v>
      </c>
      <c r="H4" s="143">
        <v>12387.375</v>
      </c>
      <c r="I4" s="143">
        <v>22522.5</v>
      </c>
      <c r="J4" s="143">
        <v>22522.5</v>
      </c>
      <c r="K4" s="143">
        <v>19144.125</v>
      </c>
      <c r="L4" s="143">
        <v>14639.625</v>
      </c>
      <c r="M4" s="143">
        <v>16891.875</v>
      </c>
      <c r="N4" s="143">
        <v>18018</v>
      </c>
      <c r="O4" s="143">
        <v>13513.5</v>
      </c>
      <c r="P4" s="144">
        <v>19144.125</v>
      </c>
    </row>
    <row r="5" spans="1:1022">
      <c r="B5" s="184"/>
      <c r="C5" s="145" t="s">
        <v>30</v>
      </c>
      <c r="D5" s="146">
        <f>SUM(E5:P5)</f>
        <v>123873.75000000003</v>
      </c>
      <c r="E5" s="146">
        <f>E4/0.55</f>
        <v>0</v>
      </c>
      <c r="F5" s="146">
        <f>F4*0.55</f>
        <v>8051.7937500000007</v>
      </c>
      <c r="G5" s="146">
        <f t="shared" ref="G5:P5" si="1">G4*0.55</f>
        <v>28490.962500000001</v>
      </c>
      <c r="H5" s="146">
        <f t="shared" si="1"/>
        <v>6813.0562500000005</v>
      </c>
      <c r="I5" s="146">
        <f t="shared" si="1"/>
        <v>12387.375000000002</v>
      </c>
      <c r="J5" s="146">
        <f t="shared" si="1"/>
        <v>12387.375000000002</v>
      </c>
      <c r="K5" s="146">
        <f t="shared" si="1"/>
        <v>10529.268750000001</v>
      </c>
      <c r="L5" s="146">
        <f t="shared" si="1"/>
        <v>8051.7937500000007</v>
      </c>
      <c r="M5" s="146">
        <f t="shared" si="1"/>
        <v>9290.53125</v>
      </c>
      <c r="N5" s="146">
        <f t="shared" si="1"/>
        <v>9909.9000000000015</v>
      </c>
      <c r="O5" s="146">
        <f t="shared" si="1"/>
        <v>7432.4250000000002</v>
      </c>
      <c r="P5" s="146">
        <f t="shared" si="1"/>
        <v>10529.268750000001</v>
      </c>
    </row>
    <row r="6" spans="1:1022">
      <c r="B6" s="184"/>
      <c r="C6" s="147" t="s">
        <v>76</v>
      </c>
      <c r="D6" s="95">
        <f>(D4/315)*15*90%</f>
        <v>9652.5</v>
      </c>
      <c r="E6" s="95">
        <f t="shared" ref="E6:P6" si="2">(E4/315)*15*90%</f>
        <v>0</v>
      </c>
      <c r="F6" s="95">
        <v>600</v>
      </c>
      <c r="G6" s="95">
        <f t="shared" si="2"/>
        <v>2220.0750000000003</v>
      </c>
      <c r="H6" s="95">
        <f t="shared" si="2"/>
        <v>530.88750000000005</v>
      </c>
      <c r="I6" s="95">
        <f t="shared" si="2"/>
        <v>965.25</v>
      </c>
      <c r="J6" s="95">
        <f t="shared" si="2"/>
        <v>965.25</v>
      </c>
      <c r="K6" s="95">
        <f t="shared" si="2"/>
        <v>820.46249999999998</v>
      </c>
      <c r="L6" s="95">
        <f t="shared" si="2"/>
        <v>627.41250000000002</v>
      </c>
      <c r="M6" s="95">
        <f t="shared" si="2"/>
        <v>723.9375</v>
      </c>
      <c r="N6" s="95">
        <f t="shared" si="2"/>
        <v>772.2</v>
      </c>
      <c r="O6" s="95">
        <f t="shared" si="2"/>
        <v>579.15</v>
      </c>
      <c r="P6" s="95">
        <f t="shared" si="2"/>
        <v>820.46249999999998</v>
      </c>
    </row>
    <row r="7" spans="1:1022">
      <c r="B7" s="184"/>
      <c r="C7" s="14"/>
      <c r="D7" s="8">
        <f>SUM(E7:P7)</f>
        <v>0</v>
      </c>
      <c r="E7" s="24"/>
      <c r="F7" s="8">
        <f>E5*20%</f>
        <v>0</v>
      </c>
      <c r="G7" s="8"/>
      <c r="H7" s="8"/>
      <c r="I7" s="8"/>
      <c r="J7" s="8"/>
      <c r="K7" s="8"/>
      <c r="L7" s="8"/>
      <c r="M7" s="8"/>
      <c r="N7" s="8"/>
      <c r="O7" s="8"/>
      <c r="P7" s="29"/>
    </row>
    <row r="8" spans="1:1022">
      <c r="B8" s="184"/>
      <c r="C8" s="14"/>
      <c r="D8" s="8">
        <f>SUM(E8:P8)</f>
        <v>14582</v>
      </c>
      <c r="E8" s="8">
        <v>14582</v>
      </c>
      <c r="F8" s="8"/>
      <c r="G8" s="8"/>
      <c r="H8" s="8"/>
      <c r="I8" s="8"/>
      <c r="J8" s="8"/>
      <c r="K8" s="8"/>
      <c r="L8" s="8"/>
      <c r="M8" s="8"/>
      <c r="N8" s="8"/>
      <c r="O8" s="8"/>
      <c r="P8" s="29"/>
    </row>
    <row r="9" spans="1:1022">
      <c r="B9" s="184"/>
      <c r="C9" s="150" t="s">
        <v>79</v>
      </c>
      <c r="D9" s="151">
        <f>SUM(E9:P9)</f>
        <v>24207.087500000005</v>
      </c>
      <c r="E9" s="151">
        <f t="shared" ref="E9:P9" si="3">E8+E7+E6</f>
        <v>14582</v>
      </c>
      <c r="F9" s="151">
        <f t="shared" si="3"/>
        <v>600</v>
      </c>
      <c r="G9" s="151">
        <f t="shared" si="3"/>
        <v>2220.0750000000003</v>
      </c>
      <c r="H9" s="151">
        <f t="shared" si="3"/>
        <v>530.88750000000005</v>
      </c>
      <c r="I9" s="151">
        <f t="shared" si="3"/>
        <v>965.25</v>
      </c>
      <c r="J9" s="151">
        <f t="shared" si="3"/>
        <v>965.25</v>
      </c>
      <c r="K9" s="151">
        <f t="shared" si="3"/>
        <v>820.46249999999998</v>
      </c>
      <c r="L9" s="151">
        <f t="shared" si="3"/>
        <v>627.41250000000002</v>
      </c>
      <c r="M9" s="151">
        <f t="shared" si="3"/>
        <v>723.9375</v>
      </c>
      <c r="N9" s="151">
        <f t="shared" si="3"/>
        <v>772.2</v>
      </c>
      <c r="O9" s="151">
        <f t="shared" si="3"/>
        <v>579.15</v>
      </c>
      <c r="P9" s="152">
        <f t="shared" si="3"/>
        <v>820.46249999999998</v>
      </c>
    </row>
    <row r="10" spans="1:1022">
      <c r="B10" s="184"/>
      <c r="C10" s="150" t="s">
        <v>31</v>
      </c>
      <c r="D10" s="151">
        <f>SUM(E10:P10)</f>
        <v>27871.593750000004</v>
      </c>
      <c r="E10" s="151">
        <f>E5*22.5%</f>
        <v>0</v>
      </c>
      <c r="F10" s="151">
        <f t="shared" ref="F10:P10" si="4">F5*22.5%</f>
        <v>1811.6535937500003</v>
      </c>
      <c r="G10" s="151">
        <f t="shared" si="4"/>
        <v>6410.4665625000007</v>
      </c>
      <c r="H10" s="151">
        <f t="shared" si="4"/>
        <v>1532.9376562500001</v>
      </c>
      <c r="I10" s="151">
        <f t="shared" si="4"/>
        <v>2787.1593750000006</v>
      </c>
      <c r="J10" s="151">
        <f t="shared" si="4"/>
        <v>2787.1593750000006</v>
      </c>
      <c r="K10" s="151">
        <f t="shared" si="4"/>
        <v>2369.0854687500005</v>
      </c>
      <c r="L10" s="151">
        <f t="shared" si="4"/>
        <v>1811.6535937500003</v>
      </c>
      <c r="M10" s="151">
        <f t="shared" si="4"/>
        <v>2090.3695312499999</v>
      </c>
      <c r="N10" s="151">
        <f t="shared" si="4"/>
        <v>2229.7275000000004</v>
      </c>
      <c r="O10" s="151">
        <f t="shared" si="4"/>
        <v>1672.295625</v>
      </c>
      <c r="P10" s="151">
        <f t="shared" si="4"/>
        <v>2369.0854687500005</v>
      </c>
    </row>
    <row r="11" spans="1:1022" ht="14.65" thickBot="1">
      <c r="B11" s="185"/>
      <c r="C11" s="153" t="s">
        <v>77</v>
      </c>
      <c r="D11" s="154">
        <f>SUM(E11:P11)</f>
        <v>3664.5062500000054</v>
      </c>
      <c r="E11" s="154">
        <f t="shared" ref="E11:P11" si="5">E10-E9</f>
        <v>-14582</v>
      </c>
      <c r="F11" s="154">
        <f t="shared" si="5"/>
        <v>1211.6535937500003</v>
      </c>
      <c r="G11" s="154">
        <f t="shared" si="5"/>
        <v>4190.3915625000009</v>
      </c>
      <c r="H11" s="154">
        <f t="shared" si="5"/>
        <v>1002.0501562500001</v>
      </c>
      <c r="I11" s="154">
        <f t="shared" si="5"/>
        <v>1821.9093750000006</v>
      </c>
      <c r="J11" s="154">
        <f t="shared" si="5"/>
        <v>1821.9093750000006</v>
      </c>
      <c r="K11" s="154">
        <f t="shared" si="5"/>
        <v>1548.6229687500004</v>
      </c>
      <c r="L11" s="154">
        <f t="shared" si="5"/>
        <v>1184.2410937500003</v>
      </c>
      <c r="M11" s="154">
        <f t="shared" si="5"/>
        <v>1366.4320312499999</v>
      </c>
      <c r="N11" s="154">
        <f t="shared" si="5"/>
        <v>1457.5275000000004</v>
      </c>
      <c r="O11" s="154">
        <f t="shared" si="5"/>
        <v>1093.1456250000001</v>
      </c>
      <c r="P11" s="155">
        <f t="shared" si="5"/>
        <v>1548.6229687500004</v>
      </c>
    </row>
    <row r="12" spans="1:1022" s="28" customFormat="1" ht="4.5" customHeight="1" thickBot="1"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022" ht="14.65" thickTop="1">
      <c r="B13" s="189" t="s">
        <v>95</v>
      </c>
      <c r="C13" s="142" t="s">
        <v>75</v>
      </c>
      <c r="D13" s="143">
        <v>207900</v>
      </c>
      <c r="E13" s="143">
        <v>16632</v>
      </c>
      <c r="F13" s="143">
        <v>13513.5</v>
      </c>
      <c r="G13" s="143">
        <v>31185</v>
      </c>
      <c r="H13" s="143">
        <v>11434.5</v>
      </c>
      <c r="I13" s="143">
        <v>20790</v>
      </c>
      <c r="J13" s="143">
        <v>20790</v>
      </c>
      <c r="K13" s="143">
        <v>17671.5</v>
      </c>
      <c r="L13" s="143">
        <v>13513.5</v>
      </c>
      <c r="M13" s="143">
        <v>15592.5</v>
      </c>
      <c r="N13" s="143">
        <v>16632</v>
      </c>
      <c r="O13" s="143">
        <v>12474</v>
      </c>
      <c r="P13" s="144">
        <v>17671.5</v>
      </c>
    </row>
    <row r="14" spans="1:1022">
      <c r="B14" s="190"/>
      <c r="C14" s="145" t="s">
        <v>30</v>
      </c>
      <c r="D14" s="146">
        <f>D13*0.6</f>
        <v>124740</v>
      </c>
      <c r="E14" s="146">
        <f t="shared" ref="E14:P14" si="6">E13*0.6</f>
        <v>9979.1999999999989</v>
      </c>
      <c r="F14" s="146">
        <f t="shared" si="6"/>
        <v>8108.0999999999995</v>
      </c>
      <c r="G14" s="146">
        <f t="shared" si="6"/>
        <v>18711</v>
      </c>
      <c r="H14" s="146">
        <f t="shared" si="6"/>
        <v>6860.7</v>
      </c>
      <c r="I14" s="146">
        <f t="shared" si="6"/>
        <v>12474</v>
      </c>
      <c r="J14" s="146">
        <f t="shared" si="6"/>
        <v>12474</v>
      </c>
      <c r="K14" s="146">
        <f t="shared" si="6"/>
        <v>10602.9</v>
      </c>
      <c r="L14" s="146">
        <f t="shared" si="6"/>
        <v>8108.0999999999995</v>
      </c>
      <c r="M14" s="146">
        <f t="shared" si="6"/>
        <v>9355.5</v>
      </c>
      <c r="N14" s="146">
        <f t="shared" si="6"/>
        <v>9979.1999999999989</v>
      </c>
      <c r="O14" s="146">
        <f t="shared" si="6"/>
        <v>7484.4</v>
      </c>
      <c r="P14" s="146">
        <f t="shared" si="6"/>
        <v>10602.9</v>
      </c>
    </row>
    <row r="15" spans="1:1022">
      <c r="B15" s="190"/>
      <c r="C15" s="147" t="s">
        <v>76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</row>
    <row r="16" spans="1:1022">
      <c r="B16" s="190"/>
      <c r="C16" s="14" t="s">
        <v>81</v>
      </c>
      <c r="D16" s="8">
        <f>SUM(E16:P16)</f>
        <v>0</v>
      </c>
      <c r="E16" s="24"/>
      <c r="F16" s="8"/>
      <c r="G16" s="157"/>
      <c r="H16" s="8"/>
      <c r="I16" s="8"/>
      <c r="J16" s="8"/>
      <c r="K16" s="8"/>
      <c r="L16" s="8"/>
      <c r="M16" s="8"/>
      <c r="N16" s="8"/>
      <c r="O16" s="8"/>
      <c r="P16" s="29"/>
    </row>
    <row r="17" spans="2:16">
      <c r="B17" s="190"/>
      <c r="C17" s="14" t="s">
        <v>83</v>
      </c>
      <c r="D17" s="8">
        <f>SUM(E17:P17)</f>
        <v>0</v>
      </c>
      <c r="E17" s="8"/>
      <c r="F17" s="8"/>
      <c r="G17" s="157">
        <v>0</v>
      </c>
      <c r="H17" s="8"/>
      <c r="I17" s="8"/>
      <c r="J17" s="8"/>
      <c r="K17" s="8"/>
      <c r="L17" s="8"/>
      <c r="M17" s="8"/>
      <c r="N17" s="8"/>
      <c r="O17" s="8"/>
      <c r="P17" s="29"/>
    </row>
    <row r="18" spans="2:16">
      <c r="B18" s="190"/>
      <c r="C18" s="150" t="s">
        <v>84</v>
      </c>
      <c r="D18" s="151">
        <f>SUM(E18:P18)</f>
        <v>0</v>
      </c>
      <c r="E18" s="151"/>
      <c r="F18" s="151"/>
      <c r="G18" s="151"/>
      <c r="H18" s="151"/>
      <c r="I18" s="156">
        <v>0</v>
      </c>
      <c r="J18" s="151"/>
      <c r="K18" s="151"/>
      <c r="L18" s="151"/>
      <c r="M18" s="151"/>
      <c r="N18" s="151"/>
      <c r="O18" s="151"/>
      <c r="P18" s="152"/>
    </row>
    <row r="19" spans="2:16">
      <c r="B19" s="190"/>
      <c r="C19" s="150" t="s">
        <v>79</v>
      </c>
      <c r="D19" s="151">
        <f>SUM(E19:P19)</f>
        <v>0</v>
      </c>
      <c r="E19" s="151">
        <f>SUM(E15:E18)</f>
        <v>0</v>
      </c>
      <c r="F19" s="151">
        <f t="shared" ref="F19:P19" si="7">SUM(F15:F18)</f>
        <v>0</v>
      </c>
      <c r="G19" s="151">
        <f t="shared" si="7"/>
        <v>0</v>
      </c>
      <c r="H19" s="151">
        <f t="shared" si="7"/>
        <v>0</v>
      </c>
      <c r="I19" s="151">
        <f t="shared" si="7"/>
        <v>0</v>
      </c>
      <c r="J19" s="151">
        <f t="shared" si="7"/>
        <v>0</v>
      </c>
      <c r="K19" s="151">
        <f t="shared" si="7"/>
        <v>0</v>
      </c>
      <c r="L19" s="151">
        <f t="shared" si="7"/>
        <v>0</v>
      </c>
      <c r="M19" s="151">
        <f t="shared" si="7"/>
        <v>0</v>
      </c>
      <c r="N19" s="151">
        <f t="shared" si="7"/>
        <v>0</v>
      </c>
      <c r="O19" s="151">
        <f t="shared" si="7"/>
        <v>0</v>
      </c>
      <c r="P19" s="151">
        <f t="shared" si="7"/>
        <v>0</v>
      </c>
    </row>
    <row r="20" spans="2:16" ht="14.65" thickBot="1">
      <c r="B20" s="190"/>
      <c r="C20" s="153" t="s">
        <v>31</v>
      </c>
      <c r="D20" s="154">
        <f>D14*22.5%</f>
        <v>28066.5</v>
      </c>
      <c r="E20" s="154">
        <f t="shared" ref="E20:P20" si="8">E14*22.5%</f>
        <v>2245.3199999999997</v>
      </c>
      <c r="F20" s="154">
        <f t="shared" si="8"/>
        <v>1824.3225</v>
      </c>
      <c r="G20" s="154">
        <f t="shared" si="8"/>
        <v>4209.9750000000004</v>
      </c>
      <c r="H20" s="154">
        <f t="shared" si="8"/>
        <v>1543.6575</v>
      </c>
      <c r="I20" s="154">
        <f t="shared" si="8"/>
        <v>2806.65</v>
      </c>
      <c r="J20" s="154">
        <f t="shared" si="8"/>
        <v>2806.65</v>
      </c>
      <c r="K20" s="154">
        <f t="shared" si="8"/>
        <v>2385.6525000000001</v>
      </c>
      <c r="L20" s="154">
        <f t="shared" si="8"/>
        <v>1824.3225</v>
      </c>
      <c r="M20" s="154">
        <f t="shared" si="8"/>
        <v>2104.9875000000002</v>
      </c>
      <c r="N20" s="154">
        <f t="shared" si="8"/>
        <v>2245.3199999999997</v>
      </c>
      <c r="O20" s="154">
        <f t="shared" si="8"/>
        <v>1683.99</v>
      </c>
      <c r="P20" s="155">
        <f t="shared" si="8"/>
        <v>2385.6525000000001</v>
      </c>
    </row>
    <row r="21" spans="2:16" ht="14.65" thickBot="1">
      <c r="B21" s="191"/>
      <c r="C21" s="142" t="s">
        <v>77</v>
      </c>
      <c r="D21" s="143">
        <f>SUM(E21:P21)</f>
        <v>28066.5</v>
      </c>
      <c r="E21" s="143">
        <f t="shared" ref="E21:P21" si="9">E20-E19</f>
        <v>2245.3199999999997</v>
      </c>
      <c r="F21" s="143">
        <f t="shared" si="9"/>
        <v>1824.3225</v>
      </c>
      <c r="G21" s="143">
        <f t="shared" si="9"/>
        <v>4209.9750000000004</v>
      </c>
      <c r="H21" s="143">
        <f t="shared" si="9"/>
        <v>1543.6575</v>
      </c>
      <c r="I21" s="143">
        <f t="shared" si="9"/>
        <v>2806.65</v>
      </c>
      <c r="J21" s="143">
        <f t="shared" si="9"/>
        <v>2806.65</v>
      </c>
      <c r="K21" s="143">
        <f t="shared" si="9"/>
        <v>2385.6525000000001</v>
      </c>
      <c r="L21" s="143">
        <f t="shared" si="9"/>
        <v>1824.3225</v>
      </c>
      <c r="M21" s="143">
        <f t="shared" si="9"/>
        <v>2104.9875000000002</v>
      </c>
      <c r="N21" s="143">
        <f t="shared" si="9"/>
        <v>2245.3199999999997</v>
      </c>
      <c r="O21" s="143">
        <f t="shared" si="9"/>
        <v>1683.99</v>
      </c>
      <c r="P21" s="144">
        <f t="shared" si="9"/>
        <v>2385.6525000000001</v>
      </c>
    </row>
    <row r="22" spans="2:16" s="28" customFormat="1" ht="4.5" customHeight="1" thickTop="1" thickBot="1"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2:16">
      <c r="B23" s="183" t="s">
        <v>10</v>
      </c>
      <c r="C23" s="143" t="s">
        <v>75</v>
      </c>
      <c r="D23" s="143">
        <v>189000</v>
      </c>
      <c r="E23" s="143"/>
      <c r="F23" s="143"/>
      <c r="G23" s="143"/>
      <c r="H23" s="143"/>
      <c r="I23" s="143"/>
      <c r="J23" s="143"/>
      <c r="K23" s="143">
        <v>28350</v>
      </c>
      <c r="L23" s="143">
        <v>32130.000000000004</v>
      </c>
      <c r="M23" s="143">
        <v>37800</v>
      </c>
      <c r="N23" s="143">
        <v>37800</v>
      </c>
      <c r="O23" s="144">
        <v>34020</v>
      </c>
      <c r="P23" s="143">
        <v>18900</v>
      </c>
    </row>
    <row r="24" spans="2:16">
      <c r="B24" s="184"/>
      <c r="C24" s="146" t="s">
        <v>30</v>
      </c>
      <c r="D24" s="146">
        <f>D23*0.55</f>
        <v>103950.00000000001</v>
      </c>
      <c r="E24" s="146"/>
      <c r="F24" s="146"/>
      <c r="G24" s="146"/>
      <c r="H24" s="146"/>
      <c r="I24" s="146"/>
      <c r="J24" s="146"/>
      <c r="K24" s="146">
        <f t="shared" ref="K24:P24" si="10">K23*0.55</f>
        <v>15592.500000000002</v>
      </c>
      <c r="L24" s="146">
        <f t="shared" si="10"/>
        <v>17671.500000000004</v>
      </c>
      <c r="M24" s="146">
        <f t="shared" si="10"/>
        <v>20790</v>
      </c>
      <c r="N24" s="146">
        <f t="shared" si="10"/>
        <v>20790</v>
      </c>
      <c r="O24" s="146">
        <f t="shared" si="10"/>
        <v>18711</v>
      </c>
      <c r="P24" s="146">
        <f t="shared" si="10"/>
        <v>10395</v>
      </c>
    </row>
    <row r="25" spans="2:16">
      <c r="B25" s="184"/>
      <c r="C25" s="95" t="s">
        <v>76</v>
      </c>
      <c r="D25" s="95">
        <v>0</v>
      </c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</row>
    <row r="26" spans="2:16">
      <c r="B26" s="184"/>
      <c r="C26" s="8" t="s">
        <v>86</v>
      </c>
      <c r="D26" s="24">
        <f>SUM(E26:P26)</f>
        <v>0</v>
      </c>
      <c r="E26" s="8"/>
      <c r="F26" s="157">
        <v>0</v>
      </c>
      <c r="G26" s="8"/>
      <c r="H26" s="8"/>
      <c r="I26" s="8"/>
      <c r="J26" s="8"/>
      <c r="K26" s="8"/>
      <c r="L26" s="8"/>
      <c r="M26" s="8"/>
      <c r="N26" s="8"/>
      <c r="O26" s="29"/>
      <c r="P26" s="8"/>
    </row>
    <row r="27" spans="2:16">
      <c r="B27" s="184"/>
      <c r="C27" s="8" t="s">
        <v>79</v>
      </c>
      <c r="D27" s="8">
        <f>SUM(E27:P27)</f>
        <v>0</v>
      </c>
      <c r="E27" s="8">
        <f t="shared" ref="E27:P27" si="11">E26+E25</f>
        <v>0</v>
      </c>
      <c r="F27" s="8">
        <f t="shared" si="11"/>
        <v>0</v>
      </c>
      <c r="G27" s="8">
        <f t="shared" si="11"/>
        <v>0</v>
      </c>
      <c r="H27" s="8">
        <f t="shared" si="11"/>
        <v>0</v>
      </c>
      <c r="I27" s="8">
        <f t="shared" si="11"/>
        <v>0</v>
      </c>
      <c r="J27" s="8">
        <f t="shared" si="11"/>
        <v>0</v>
      </c>
      <c r="K27" s="8">
        <f t="shared" si="11"/>
        <v>0</v>
      </c>
      <c r="L27" s="8">
        <f t="shared" si="11"/>
        <v>0</v>
      </c>
      <c r="M27" s="8">
        <f t="shared" si="11"/>
        <v>0</v>
      </c>
      <c r="N27" s="8">
        <f t="shared" si="11"/>
        <v>0</v>
      </c>
      <c r="O27" s="29">
        <f t="shared" si="11"/>
        <v>0</v>
      </c>
      <c r="P27" s="8">
        <f t="shared" si="11"/>
        <v>0</v>
      </c>
    </row>
    <row r="28" spans="2:16">
      <c r="B28" s="184"/>
      <c r="C28" s="151" t="s">
        <v>31</v>
      </c>
      <c r="D28" s="151">
        <f>D24*22.5%</f>
        <v>23388.750000000004</v>
      </c>
      <c r="E28" s="151">
        <f t="shared" ref="E28:P28" si="12">E24*22.5%</f>
        <v>0</v>
      </c>
      <c r="F28" s="151">
        <f t="shared" si="12"/>
        <v>0</v>
      </c>
      <c r="G28" s="151">
        <f t="shared" si="12"/>
        <v>0</v>
      </c>
      <c r="H28" s="151">
        <f t="shared" si="12"/>
        <v>0</v>
      </c>
      <c r="I28" s="151">
        <f t="shared" si="12"/>
        <v>0</v>
      </c>
      <c r="J28" s="151">
        <f t="shared" si="12"/>
        <v>0</v>
      </c>
      <c r="K28" s="151">
        <f t="shared" si="12"/>
        <v>3508.3125000000005</v>
      </c>
      <c r="L28" s="151">
        <f t="shared" si="12"/>
        <v>3976.087500000001</v>
      </c>
      <c r="M28" s="151">
        <f t="shared" si="12"/>
        <v>4677.75</v>
      </c>
      <c r="N28" s="151">
        <f t="shared" si="12"/>
        <v>4677.75</v>
      </c>
      <c r="O28" s="152">
        <f t="shared" si="12"/>
        <v>4209.9750000000004</v>
      </c>
      <c r="P28" s="151">
        <f t="shared" si="12"/>
        <v>2338.875</v>
      </c>
    </row>
    <row r="29" spans="2:16" ht="14.65" thickBot="1">
      <c r="B29" s="185"/>
      <c r="C29" s="151" t="s">
        <v>77</v>
      </c>
      <c r="D29" s="151">
        <f>D28-D27</f>
        <v>23388.750000000004</v>
      </c>
      <c r="E29" s="151">
        <f t="shared" ref="E29:P29" si="13">E28-E27</f>
        <v>0</v>
      </c>
      <c r="F29" s="151">
        <f t="shared" si="13"/>
        <v>0</v>
      </c>
      <c r="G29" s="151">
        <f t="shared" si="13"/>
        <v>0</v>
      </c>
      <c r="H29" s="151">
        <f t="shared" si="13"/>
        <v>0</v>
      </c>
      <c r="I29" s="151">
        <f t="shared" si="13"/>
        <v>0</v>
      </c>
      <c r="J29" s="151">
        <f t="shared" si="13"/>
        <v>0</v>
      </c>
      <c r="K29" s="151">
        <f t="shared" si="13"/>
        <v>3508.3125000000005</v>
      </c>
      <c r="L29" s="151">
        <f t="shared" si="13"/>
        <v>3976.087500000001</v>
      </c>
      <c r="M29" s="151">
        <f t="shared" si="13"/>
        <v>4677.75</v>
      </c>
      <c r="N29" s="151">
        <f t="shared" si="13"/>
        <v>4677.75</v>
      </c>
      <c r="O29" s="151">
        <f t="shared" si="13"/>
        <v>4209.9750000000004</v>
      </c>
      <c r="P29" s="151">
        <f t="shared" si="13"/>
        <v>2338.875</v>
      </c>
    </row>
    <row r="30" spans="2:16" s="28" customFormat="1" ht="4.5" customHeight="1" thickBot="1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2:16">
      <c r="B31" s="183" t="s">
        <v>4</v>
      </c>
      <c r="C31" s="142" t="s">
        <v>75</v>
      </c>
      <c r="D31" s="143">
        <v>198450</v>
      </c>
      <c r="E31" s="143">
        <v>0</v>
      </c>
      <c r="F31" s="143">
        <v>0</v>
      </c>
      <c r="G31" s="143">
        <v>0</v>
      </c>
      <c r="H31" s="143">
        <v>17419.499999999996</v>
      </c>
      <c r="I31" s="143">
        <v>26349.75</v>
      </c>
      <c r="J31" s="143">
        <v>26349.75</v>
      </c>
      <c r="K31" s="143">
        <v>23373</v>
      </c>
      <c r="L31" s="143">
        <v>19404</v>
      </c>
      <c r="M31" s="143">
        <v>21388.499999999996</v>
      </c>
      <c r="N31" s="143">
        <v>22380.749999999996</v>
      </c>
      <c r="O31" s="143">
        <v>18411.749999999996</v>
      </c>
      <c r="P31" s="144">
        <v>23373</v>
      </c>
    </row>
    <row r="32" spans="2:16">
      <c r="B32" s="184"/>
      <c r="C32" s="145" t="s">
        <v>30</v>
      </c>
      <c r="D32" s="146">
        <f>D31*0.55</f>
        <v>109147.50000000001</v>
      </c>
      <c r="E32" s="146">
        <f>E31*0.55</f>
        <v>0</v>
      </c>
      <c r="F32" s="146">
        <f t="shared" ref="F32:P32" si="14">F31*0.55</f>
        <v>0</v>
      </c>
      <c r="G32" s="146">
        <f t="shared" si="14"/>
        <v>0</v>
      </c>
      <c r="H32" s="146">
        <f t="shared" si="14"/>
        <v>9580.7249999999985</v>
      </c>
      <c r="I32" s="146">
        <f t="shared" si="14"/>
        <v>14492.362500000001</v>
      </c>
      <c r="J32" s="146">
        <f t="shared" si="14"/>
        <v>14492.362500000001</v>
      </c>
      <c r="K32" s="146">
        <f t="shared" si="14"/>
        <v>12855.150000000001</v>
      </c>
      <c r="L32" s="146">
        <f t="shared" si="14"/>
        <v>10672.2</v>
      </c>
      <c r="M32" s="146">
        <f t="shared" si="14"/>
        <v>11763.674999999999</v>
      </c>
      <c r="N32" s="146">
        <f t="shared" si="14"/>
        <v>12309.412499999999</v>
      </c>
      <c r="O32" s="146">
        <f t="shared" si="14"/>
        <v>10126.4625</v>
      </c>
      <c r="P32" s="146">
        <f t="shared" si="14"/>
        <v>12855.150000000001</v>
      </c>
    </row>
    <row r="33" spans="2:16">
      <c r="B33" s="184"/>
      <c r="C33" s="147" t="s">
        <v>76</v>
      </c>
      <c r="D33" s="95">
        <v>0</v>
      </c>
      <c r="E33" s="95">
        <v>0</v>
      </c>
      <c r="F33" s="95">
        <v>0</v>
      </c>
      <c r="G33" s="95">
        <v>0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5">
        <v>0</v>
      </c>
      <c r="N33" s="95">
        <v>0</v>
      </c>
      <c r="O33" s="95">
        <v>0</v>
      </c>
      <c r="P33" s="95">
        <v>0</v>
      </c>
    </row>
    <row r="34" spans="2:16">
      <c r="B34" s="184"/>
      <c r="C34" s="14" t="s">
        <v>87</v>
      </c>
      <c r="D34" s="8">
        <f t="shared" ref="D34:D38" si="15">SUM(E34:P34)</f>
        <v>0</v>
      </c>
      <c r="E34" s="24"/>
      <c r="F34" s="8"/>
      <c r="G34" s="8"/>
      <c r="H34" s="8"/>
      <c r="I34" s="8"/>
      <c r="J34" s="157">
        <v>0</v>
      </c>
      <c r="K34" s="8"/>
      <c r="L34" s="8"/>
      <c r="M34" s="8"/>
      <c r="N34" s="8"/>
      <c r="O34" s="8"/>
      <c r="P34" s="29"/>
    </row>
    <row r="35" spans="2:16">
      <c r="B35" s="184"/>
      <c r="C35" s="14" t="s">
        <v>84</v>
      </c>
      <c r="D35" s="8">
        <f t="shared" si="15"/>
        <v>0</v>
      </c>
      <c r="E35" s="8"/>
      <c r="F35" s="8"/>
      <c r="G35" s="8"/>
      <c r="H35" s="8"/>
      <c r="I35" s="8"/>
      <c r="J35" s="157">
        <v>0</v>
      </c>
      <c r="K35" s="8"/>
      <c r="L35" s="8"/>
      <c r="M35" s="8"/>
      <c r="N35" s="8"/>
      <c r="O35" s="8"/>
      <c r="P35" s="29"/>
    </row>
    <row r="36" spans="2:16">
      <c r="B36" s="184"/>
      <c r="C36" s="150" t="s">
        <v>79</v>
      </c>
      <c r="D36" s="151">
        <f t="shared" si="15"/>
        <v>0</v>
      </c>
      <c r="E36" s="151">
        <f t="shared" ref="E36:P36" si="16">E33+E34+E35</f>
        <v>0</v>
      </c>
      <c r="F36" s="151">
        <f t="shared" si="16"/>
        <v>0</v>
      </c>
      <c r="G36" s="151">
        <f t="shared" si="16"/>
        <v>0</v>
      </c>
      <c r="H36" s="151">
        <f t="shared" si="16"/>
        <v>0</v>
      </c>
      <c r="I36" s="151">
        <f t="shared" si="16"/>
        <v>0</v>
      </c>
      <c r="J36" s="151">
        <f t="shared" si="16"/>
        <v>0</v>
      </c>
      <c r="K36" s="151">
        <f t="shared" si="16"/>
        <v>0</v>
      </c>
      <c r="L36" s="151">
        <f t="shared" si="16"/>
        <v>0</v>
      </c>
      <c r="M36" s="151">
        <f t="shared" si="16"/>
        <v>0</v>
      </c>
      <c r="N36" s="151">
        <f t="shared" si="16"/>
        <v>0</v>
      </c>
      <c r="O36" s="151">
        <f t="shared" si="16"/>
        <v>0</v>
      </c>
      <c r="P36" s="152">
        <f t="shared" si="16"/>
        <v>0</v>
      </c>
    </row>
    <row r="37" spans="2:16">
      <c r="B37" s="184"/>
      <c r="C37" s="150" t="s">
        <v>31</v>
      </c>
      <c r="D37" s="151">
        <f>D32*22.5%</f>
        <v>24558.187500000004</v>
      </c>
      <c r="E37" s="151">
        <f t="shared" ref="E37:P37" si="17">E32*22.5%</f>
        <v>0</v>
      </c>
      <c r="F37" s="151">
        <f t="shared" si="17"/>
        <v>0</v>
      </c>
      <c r="G37" s="151">
        <f t="shared" si="17"/>
        <v>0</v>
      </c>
      <c r="H37" s="151">
        <f t="shared" si="17"/>
        <v>2155.6631249999996</v>
      </c>
      <c r="I37" s="151">
        <f t="shared" si="17"/>
        <v>3260.7815625000003</v>
      </c>
      <c r="J37" s="151">
        <f t="shared" si="17"/>
        <v>3260.7815625000003</v>
      </c>
      <c r="K37" s="151">
        <f t="shared" si="17"/>
        <v>2892.4087500000005</v>
      </c>
      <c r="L37" s="151">
        <f t="shared" si="17"/>
        <v>2401.2450000000003</v>
      </c>
      <c r="M37" s="151">
        <f t="shared" si="17"/>
        <v>2646.8268749999997</v>
      </c>
      <c r="N37" s="151">
        <f t="shared" si="17"/>
        <v>2769.6178124999997</v>
      </c>
      <c r="O37" s="151">
        <f t="shared" si="17"/>
        <v>2278.4540625</v>
      </c>
      <c r="P37" s="151">
        <f t="shared" si="17"/>
        <v>2892.4087500000005</v>
      </c>
    </row>
    <row r="38" spans="2:16" ht="14.65" thickBot="1">
      <c r="B38" s="185"/>
      <c r="C38" s="153" t="s">
        <v>77</v>
      </c>
      <c r="D38" s="154">
        <f t="shared" si="15"/>
        <v>24558.1875</v>
      </c>
      <c r="E38" s="154">
        <f t="shared" ref="E38:P38" si="18">E37-E36</f>
        <v>0</v>
      </c>
      <c r="F38" s="154">
        <f t="shared" si="18"/>
        <v>0</v>
      </c>
      <c r="G38" s="154">
        <f t="shared" si="18"/>
        <v>0</v>
      </c>
      <c r="H38" s="154">
        <f t="shared" si="18"/>
        <v>2155.6631249999996</v>
      </c>
      <c r="I38" s="154">
        <f t="shared" si="18"/>
        <v>3260.7815625000003</v>
      </c>
      <c r="J38" s="154">
        <f t="shared" si="18"/>
        <v>3260.7815625000003</v>
      </c>
      <c r="K38" s="154">
        <f t="shared" si="18"/>
        <v>2892.4087500000005</v>
      </c>
      <c r="L38" s="154">
        <f t="shared" si="18"/>
        <v>2401.2450000000003</v>
      </c>
      <c r="M38" s="154">
        <f t="shared" si="18"/>
        <v>2646.8268749999997</v>
      </c>
      <c r="N38" s="154">
        <f t="shared" si="18"/>
        <v>2769.6178124999997</v>
      </c>
      <c r="O38" s="154">
        <f t="shared" si="18"/>
        <v>2278.4540625</v>
      </c>
      <c r="P38" s="155">
        <f t="shared" si="18"/>
        <v>2892.4087500000005</v>
      </c>
    </row>
    <row r="39" spans="2:16" s="28" customFormat="1" ht="4.5" customHeight="1" thickBot="1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2:16">
      <c r="B40" s="183" t="s">
        <v>35</v>
      </c>
      <c r="C40" s="142" t="s">
        <v>75</v>
      </c>
      <c r="D40" s="143">
        <f t="shared" ref="D40" si="19">SUM(E40:P40)</f>
        <v>157500</v>
      </c>
      <c r="E40" s="143">
        <v>0</v>
      </c>
      <c r="F40" s="143">
        <v>0</v>
      </c>
      <c r="G40" s="143">
        <v>0</v>
      </c>
      <c r="H40" s="143">
        <v>0</v>
      </c>
      <c r="I40" s="143">
        <v>0</v>
      </c>
      <c r="J40" s="143">
        <v>0</v>
      </c>
      <c r="K40" s="143">
        <v>0</v>
      </c>
      <c r="L40" s="143">
        <v>26775.000000000004</v>
      </c>
      <c r="M40" s="143">
        <v>31500</v>
      </c>
      <c r="N40" s="143">
        <v>31500</v>
      </c>
      <c r="O40" s="143">
        <v>28350</v>
      </c>
      <c r="P40" s="144">
        <v>39375</v>
      </c>
    </row>
    <row r="41" spans="2:16">
      <c r="B41" s="184"/>
      <c r="C41" s="145" t="s">
        <v>30</v>
      </c>
      <c r="D41" s="146">
        <f>D40*0.55</f>
        <v>86625</v>
      </c>
      <c r="E41" s="146">
        <f t="shared" ref="E41:P41" si="20">E40*0.55</f>
        <v>0</v>
      </c>
      <c r="F41" s="146">
        <f t="shared" si="20"/>
        <v>0</v>
      </c>
      <c r="G41" s="146">
        <f t="shared" si="20"/>
        <v>0</v>
      </c>
      <c r="H41" s="146">
        <f t="shared" si="20"/>
        <v>0</v>
      </c>
      <c r="I41" s="146">
        <f t="shared" si="20"/>
        <v>0</v>
      </c>
      <c r="J41" s="146">
        <f t="shared" si="20"/>
        <v>0</v>
      </c>
      <c r="K41" s="146">
        <f t="shared" si="20"/>
        <v>0</v>
      </c>
      <c r="L41" s="146">
        <f t="shared" si="20"/>
        <v>14726.250000000004</v>
      </c>
      <c r="M41" s="146">
        <f t="shared" si="20"/>
        <v>17325</v>
      </c>
      <c r="N41" s="146">
        <f t="shared" si="20"/>
        <v>17325</v>
      </c>
      <c r="O41" s="146">
        <f t="shared" si="20"/>
        <v>15592.500000000002</v>
      </c>
      <c r="P41" s="146">
        <f t="shared" si="20"/>
        <v>21656.25</v>
      </c>
    </row>
    <row r="42" spans="2:16">
      <c r="B42" s="184"/>
      <c r="C42" s="147" t="s">
        <v>76</v>
      </c>
      <c r="D42" s="95">
        <f>SUM(E42:P42)</f>
        <v>0</v>
      </c>
      <c r="E42" s="95">
        <f>(E40/598)*50*90%</f>
        <v>0</v>
      </c>
      <c r="F42" s="95">
        <f t="shared" ref="F42:K42" si="21">(F40/598)*50*90%</f>
        <v>0</v>
      </c>
      <c r="G42" s="95">
        <f t="shared" si="21"/>
        <v>0</v>
      </c>
      <c r="H42" s="95">
        <f t="shared" si="21"/>
        <v>0</v>
      </c>
      <c r="I42" s="95">
        <f t="shared" si="21"/>
        <v>0</v>
      </c>
      <c r="J42" s="95">
        <f t="shared" si="21"/>
        <v>0</v>
      </c>
      <c r="K42" s="95">
        <f t="shared" si="21"/>
        <v>0</v>
      </c>
      <c r="L42" s="95">
        <v>0</v>
      </c>
      <c r="M42" s="95">
        <v>0</v>
      </c>
      <c r="N42" s="95">
        <v>0</v>
      </c>
      <c r="O42" s="95">
        <v>0</v>
      </c>
      <c r="P42" s="95">
        <v>0</v>
      </c>
    </row>
    <row r="43" spans="2:16">
      <c r="B43" s="184"/>
      <c r="C43" s="14" t="s">
        <v>89</v>
      </c>
      <c r="D43" s="8"/>
      <c r="E43" s="24"/>
      <c r="F43" s="8"/>
      <c r="G43" s="8"/>
      <c r="H43" s="8"/>
      <c r="I43" s="8"/>
      <c r="J43" s="157">
        <v>0</v>
      </c>
      <c r="K43" s="8"/>
      <c r="L43" s="8"/>
      <c r="M43" s="8"/>
      <c r="N43" s="8"/>
      <c r="O43" s="8"/>
      <c r="P43" s="29"/>
    </row>
    <row r="44" spans="2:16">
      <c r="B44" s="184"/>
      <c r="C44" s="14" t="s">
        <v>79</v>
      </c>
      <c r="D44" s="8"/>
      <c r="E44" s="8">
        <f t="shared" ref="E44:P44" si="22">E43+E42</f>
        <v>0</v>
      </c>
      <c r="F44" s="8">
        <f t="shared" si="22"/>
        <v>0</v>
      </c>
      <c r="G44" s="8">
        <f t="shared" si="22"/>
        <v>0</v>
      </c>
      <c r="H44" s="8">
        <f t="shared" si="22"/>
        <v>0</v>
      </c>
      <c r="I44" s="8">
        <f t="shared" si="22"/>
        <v>0</v>
      </c>
      <c r="J44" s="8">
        <f t="shared" si="22"/>
        <v>0</v>
      </c>
      <c r="K44" s="8">
        <f t="shared" si="22"/>
        <v>0</v>
      </c>
      <c r="L44" s="8">
        <f t="shared" si="22"/>
        <v>0</v>
      </c>
      <c r="M44" s="8">
        <f t="shared" si="22"/>
        <v>0</v>
      </c>
      <c r="N44" s="8">
        <f t="shared" si="22"/>
        <v>0</v>
      </c>
      <c r="O44" s="8">
        <f t="shared" si="22"/>
        <v>0</v>
      </c>
      <c r="P44" s="29">
        <f t="shared" si="22"/>
        <v>0</v>
      </c>
    </row>
    <row r="45" spans="2:16">
      <c r="B45" s="184"/>
      <c r="C45" s="150" t="s">
        <v>31</v>
      </c>
      <c r="D45" s="151">
        <f>D41*22.5%</f>
        <v>19490.625</v>
      </c>
      <c r="E45" s="151">
        <f t="shared" ref="E45:P45" si="23">E41*22.5%</f>
        <v>0</v>
      </c>
      <c r="F45" s="151">
        <f t="shared" si="23"/>
        <v>0</v>
      </c>
      <c r="G45" s="151">
        <f t="shared" si="23"/>
        <v>0</v>
      </c>
      <c r="H45" s="151">
        <f t="shared" si="23"/>
        <v>0</v>
      </c>
      <c r="I45" s="151">
        <f t="shared" si="23"/>
        <v>0</v>
      </c>
      <c r="J45" s="151">
        <f t="shared" si="23"/>
        <v>0</v>
      </c>
      <c r="K45" s="151">
        <f t="shared" si="23"/>
        <v>0</v>
      </c>
      <c r="L45" s="151">
        <f t="shared" si="23"/>
        <v>3313.4062500000009</v>
      </c>
      <c r="M45" s="151">
        <f t="shared" si="23"/>
        <v>3898.125</v>
      </c>
      <c r="N45" s="151">
        <f t="shared" si="23"/>
        <v>3898.125</v>
      </c>
      <c r="O45" s="151">
        <f t="shared" si="23"/>
        <v>3508.3125000000005</v>
      </c>
      <c r="P45" s="152">
        <f t="shared" si="23"/>
        <v>4872.65625</v>
      </c>
    </row>
    <row r="46" spans="2:16" ht="14.65" thickBot="1">
      <c r="B46" s="185"/>
      <c r="C46" s="150" t="s">
        <v>77</v>
      </c>
      <c r="D46" s="151">
        <f>D45-D44</f>
        <v>19490.625</v>
      </c>
      <c r="E46" s="151">
        <f t="shared" ref="E46:P46" si="24">E45-E44</f>
        <v>0</v>
      </c>
      <c r="F46" s="151">
        <f t="shared" si="24"/>
        <v>0</v>
      </c>
      <c r="G46" s="151">
        <f t="shared" si="24"/>
        <v>0</v>
      </c>
      <c r="H46" s="151">
        <f t="shared" si="24"/>
        <v>0</v>
      </c>
      <c r="I46" s="151">
        <f t="shared" si="24"/>
        <v>0</v>
      </c>
      <c r="J46" s="151">
        <f t="shared" si="24"/>
        <v>0</v>
      </c>
      <c r="K46" s="151">
        <f t="shared" si="24"/>
        <v>0</v>
      </c>
      <c r="L46" s="151">
        <f t="shared" si="24"/>
        <v>3313.4062500000009</v>
      </c>
      <c r="M46" s="151">
        <f t="shared" si="24"/>
        <v>3898.125</v>
      </c>
      <c r="N46" s="151">
        <f t="shared" si="24"/>
        <v>3898.125</v>
      </c>
      <c r="O46" s="151">
        <f t="shared" si="24"/>
        <v>3508.3125000000005</v>
      </c>
      <c r="P46" s="151">
        <f t="shared" si="24"/>
        <v>4872.65625</v>
      </c>
    </row>
    <row r="47" spans="2:16" s="28" customFormat="1" ht="4.5" customHeight="1" thickBot="1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2:16">
      <c r="B48" s="186" t="s">
        <v>138</v>
      </c>
      <c r="C48" s="158" t="s">
        <v>75</v>
      </c>
      <c r="D48" s="143">
        <v>132300</v>
      </c>
      <c r="E48" s="143"/>
      <c r="F48" s="143"/>
      <c r="G48" s="143"/>
      <c r="H48" s="143"/>
      <c r="I48" s="143">
        <v>30086.874999999989</v>
      </c>
      <c r="J48" s="143">
        <v>30086.874999999989</v>
      </c>
      <c r="K48" s="143">
        <v>26947.374999999993</v>
      </c>
      <c r="L48" s="143">
        <v>22761.374999999989</v>
      </c>
      <c r="M48" s="143">
        <v>24854.374999999989</v>
      </c>
      <c r="N48" s="143">
        <v>25900.874999999989</v>
      </c>
      <c r="O48" s="143">
        <v>21714.874999999989</v>
      </c>
      <c r="P48" s="144">
        <v>26947.374999999993</v>
      </c>
    </row>
    <row r="49" spans="2:16">
      <c r="B49" s="187"/>
      <c r="C49" s="159" t="s">
        <v>30</v>
      </c>
      <c r="D49" s="146">
        <f>D48*0.55</f>
        <v>72765</v>
      </c>
      <c r="E49" s="146">
        <f t="shared" ref="E49:P49" si="25">E48*0.55</f>
        <v>0</v>
      </c>
      <c r="F49" s="146">
        <f t="shared" si="25"/>
        <v>0</v>
      </c>
      <c r="G49" s="146">
        <f t="shared" si="25"/>
        <v>0</v>
      </c>
      <c r="H49" s="146">
        <f t="shared" si="25"/>
        <v>0</v>
      </c>
      <c r="I49" s="146">
        <f t="shared" si="25"/>
        <v>16547.781249999996</v>
      </c>
      <c r="J49" s="146">
        <f t="shared" si="25"/>
        <v>16547.781249999996</v>
      </c>
      <c r="K49" s="146">
        <f t="shared" si="25"/>
        <v>14821.056249999998</v>
      </c>
      <c r="L49" s="146">
        <f t="shared" si="25"/>
        <v>12518.756249999995</v>
      </c>
      <c r="M49" s="146">
        <f t="shared" si="25"/>
        <v>13669.906249999995</v>
      </c>
      <c r="N49" s="146">
        <f t="shared" si="25"/>
        <v>14245.481249999995</v>
      </c>
      <c r="O49" s="146">
        <f t="shared" si="25"/>
        <v>11943.181249999994</v>
      </c>
      <c r="P49" s="146">
        <f t="shared" si="25"/>
        <v>14821.056249999998</v>
      </c>
    </row>
    <row r="50" spans="2:16">
      <c r="B50" s="187"/>
      <c r="C50" s="160" t="s">
        <v>91</v>
      </c>
      <c r="D50" s="95">
        <f>SUM(I50:P50)</f>
        <v>0</v>
      </c>
      <c r="E50" s="95">
        <v>0</v>
      </c>
      <c r="F50" s="95">
        <v>0</v>
      </c>
      <c r="G50" s="95">
        <v>0</v>
      </c>
      <c r="H50" s="95">
        <v>0</v>
      </c>
      <c r="I50" s="95">
        <v>0</v>
      </c>
      <c r="J50" s="95">
        <v>0</v>
      </c>
      <c r="K50" s="95">
        <v>0</v>
      </c>
      <c r="L50" s="95">
        <v>0</v>
      </c>
      <c r="M50" s="95">
        <v>0</v>
      </c>
      <c r="N50" s="95">
        <v>0</v>
      </c>
      <c r="O50" s="95">
        <v>0</v>
      </c>
      <c r="P50" s="95">
        <v>0</v>
      </c>
    </row>
    <row r="51" spans="2:16">
      <c r="B51" s="187"/>
      <c r="C51" s="30" t="s">
        <v>90</v>
      </c>
      <c r="D51" s="15">
        <v>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9"/>
    </row>
    <row r="52" spans="2:16">
      <c r="B52" s="187"/>
      <c r="C52" s="161" t="s">
        <v>79</v>
      </c>
      <c r="D52" s="151">
        <f>SUM(E52:P52)</f>
        <v>0</v>
      </c>
      <c r="E52" s="151">
        <f t="shared" ref="E52:P52" si="26">E51+E50</f>
        <v>0</v>
      </c>
      <c r="F52" s="151">
        <f t="shared" si="26"/>
        <v>0</v>
      </c>
      <c r="G52" s="151">
        <f t="shared" si="26"/>
        <v>0</v>
      </c>
      <c r="H52" s="151">
        <f t="shared" si="26"/>
        <v>0</v>
      </c>
      <c r="I52" s="151">
        <f t="shared" si="26"/>
        <v>0</v>
      </c>
      <c r="J52" s="151">
        <f t="shared" si="26"/>
        <v>0</v>
      </c>
      <c r="K52" s="151">
        <f t="shared" si="26"/>
        <v>0</v>
      </c>
      <c r="L52" s="151">
        <f t="shared" si="26"/>
        <v>0</v>
      </c>
      <c r="M52" s="151">
        <f t="shared" si="26"/>
        <v>0</v>
      </c>
      <c r="N52" s="151">
        <f t="shared" si="26"/>
        <v>0</v>
      </c>
      <c r="O52" s="151">
        <f t="shared" si="26"/>
        <v>0</v>
      </c>
      <c r="P52" s="152">
        <f t="shared" si="26"/>
        <v>0</v>
      </c>
    </row>
    <row r="53" spans="2:16">
      <c r="B53" s="187"/>
      <c r="C53" s="161" t="s">
        <v>31</v>
      </c>
      <c r="D53" s="151">
        <f>SUM(E53:P53)</f>
        <v>25900.874999999993</v>
      </c>
      <c r="E53" s="151">
        <f t="shared" ref="E53:P53" si="27">E49*22.5%</f>
        <v>0</v>
      </c>
      <c r="F53" s="151">
        <f t="shared" si="27"/>
        <v>0</v>
      </c>
      <c r="G53" s="151">
        <f t="shared" si="27"/>
        <v>0</v>
      </c>
      <c r="H53" s="151">
        <f t="shared" si="27"/>
        <v>0</v>
      </c>
      <c r="I53" s="151">
        <f t="shared" si="27"/>
        <v>3723.2507812499994</v>
      </c>
      <c r="J53" s="151">
        <f t="shared" si="27"/>
        <v>3723.2507812499994</v>
      </c>
      <c r="K53" s="151">
        <f t="shared" si="27"/>
        <v>3334.7376562499994</v>
      </c>
      <c r="L53" s="151">
        <f t="shared" si="27"/>
        <v>2816.720156249999</v>
      </c>
      <c r="M53" s="151">
        <f t="shared" si="27"/>
        <v>3075.728906249999</v>
      </c>
      <c r="N53" s="151">
        <f t="shared" si="27"/>
        <v>3205.233281249999</v>
      </c>
      <c r="O53" s="151">
        <f t="shared" si="27"/>
        <v>2687.2157812499986</v>
      </c>
      <c r="P53" s="151">
        <f t="shared" si="27"/>
        <v>3334.7376562499994</v>
      </c>
    </row>
    <row r="54" spans="2:16" ht="14.65" thickBot="1">
      <c r="B54" s="188"/>
      <c r="C54" s="162" t="s">
        <v>77</v>
      </c>
      <c r="D54" s="151">
        <f>SUM(E54:P54)</f>
        <v>25900.874999999993</v>
      </c>
      <c r="E54" s="154">
        <f>E53-E52</f>
        <v>0</v>
      </c>
      <c r="F54" s="154">
        <f t="shared" ref="F54:P54" si="28">F53-F52</f>
        <v>0</v>
      </c>
      <c r="G54" s="154">
        <f t="shared" si="28"/>
        <v>0</v>
      </c>
      <c r="H54" s="154">
        <f t="shared" si="28"/>
        <v>0</v>
      </c>
      <c r="I54" s="154">
        <f t="shared" si="28"/>
        <v>3723.2507812499994</v>
      </c>
      <c r="J54" s="154">
        <f t="shared" si="28"/>
        <v>3723.2507812499994</v>
      </c>
      <c r="K54" s="154">
        <f t="shared" si="28"/>
        <v>3334.7376562499994</v>
      </c>
      <c r="L54" s="154">
        <f t="shared" si="28"/>
        <v>2816.720156249999</v>
      </c>
      <c r="M54" s="154">
        <f t="shared" si="28"/>
        <v>3075.728906249999</v>
      </c>
      <c r="N54" s="154">
        <f t="shared" si="28"/>
        <v>3205.233281249999</v>
      </c>
      <c r="O54" s="154">
        <f t="shared" si="28"/>
        <v>2687.2157812499986</v>
      </c>
      <c r="P54" s="155">
        <f t="shared" si="28"/>
        <v>3334.7376562499994</v>
      </c>
    </row>
    <row r="55" spans="2:16" s="28" customFormat="1" ht="4.5" customHeight="1" thickBot="1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2:16">
      <c r="B56" s="180" t="s">
        <v>59</v>
      </c>
      <c r="C56" s="158" t="s">
        <v>75</v>
      </c>
      <c r="D56" s="143">
        <f>SUM(E56:P56)</f>
        <v>189000</v>
      </c>
      <c r="E56" s="143">
        <v>0</v>
      </c>
      <c r="F56" s="143">
        <v>0</v>
      </c>
      <c r="G56" s="143">
        <v>0</v>
      </c>
      <c r="H56" s="143">
        <v>0</v>
      </c>
      <c r="I56" s="143">
        <v>0</v>
      </c>
      <c r="J56" s="143">
        <v>0</v>
      </c>
      <c r="K56" s="143">
        <v>28350</v>
      </c>
      <c r="L56" s="143">
        <v>32130.000000000004</v>
      </c>
      <c r="M56" s="143">
        <v>37800</v>
      </c>
      <c r="N56" s="143">
        <v>37800</v>
      </c>
      <c r="O56" s="143">
        <v>34020</v>
      </c>
      <c r="P56" s="144">
        <v>18900</v>
      </c>
    </row>
    <row r="57" spans="2:16">
      <c r="B57" s="181"/>
      <c r="C57" s="159" t="s">
        <v>30</v>
      </c>
      <c r="D57" s="146">
        <f>D56*0.55</f>
        <v>103950.00000000001</v>
      </c>
      <c r="E57" s="146">
        <f t="shared" ref="E57:P57" si="29">E56*0.55</f>
        <v>0</v>
      </c>
      <c r="F57" s="146">
        <f t="shared" si="29"/>
        <v>0</v>
      </c>
      <c r="G57" s="146">
        <f t="shared" si="29"/>
        <v>0</v>
      </c>
      <c r="H57" s="146">
        <f t="shared" si="29"/>
        <v>0</v>
      </c>
      <c r="I57" s="146">
        <f t="shared" si="29"/>
        <v>0</v>
      </c>
      <c r="J57" s="146">
        <f t="shared" si="29"/>
        <v>0</v>
      </c>
      <c r="K57" s="146">
        <f t="shared" si="29"/>
        <v>15592.500000000002</v>
      </c>
      <c r="L57" s="146">
        <f t="shared" si="29"/>
        <v>17671.500000000004</v>
      </c>
      <c r="M57" s="146">
        <f t="shared" si="29"/>
        <v>20790</v>
      </c>
      <c r="N57" s="146">
        <f t="shared" si="29"/>
        <v>20790</v>
      </c>
      <c r="O57" s="146">
        <f t="shared" si="29"/>
        <v>18711</v>
      </c>
      <c r="P57" s="146">
        <f t="shared" si="29"/>
        <v>10395</v>
      </c>
    </row>
    <row r="58" spans="2:16">
      <c r="B58" s="181"/>
      <c r="C58" s="160" t="s">
        <v>76</v>
      </c>
      <c r="D58" s="95">
        <v>0</v>
      </c>
      <c r="E58" s="95">
        <f t="shared" ref="E58:J58" si="30">E57/598*50</f>
        <v>0</v>
      </c>
      <c r="F58" s="95">
        <f t="shared" si="30"/>
        <v>0</v>
      </c>
      <c r="G58" s="95">
        <f t="shared" si="30"/>
        <v>0</v>
      </c>
      <c r="H58" s="95">
        <f t="shared" si="30"/>
        <v>0</v>
      </c>
      <c r="I58" s="95">
        <f t="shared" si="30"/>
        <v>0</v>
      </c>
      <c r="J58" s="95">
        <f t="shared" si="30"/>
        <v>0</v>
      </c>
      <c r="K58" s="95">
        <v>0</v>
      </c>
      <c r="L58" s="95">
        <v>0</v>
      </c>
      <c r="M58" s="95">
        <v>0</v>
      </c>
      <c r="N58" s="95">
        <v>0</v>
      </c>
      <c r="O58" s="95">
        <v>0</v>
      </c>
      <c r="P58" s="163">
        <v>0</v>
      </c>
    </row>
    <row r="59" spans="2:16">
      <c r="B59" s="181"/>
      <c r="C59" s="14" t="s">
        <v>92</v>
      </c>
      <c r="D59" s="8">
        <f>SUM(E59:P59)</f>
        <v>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9"/>
    </row>
    <row r="60" spans="2:16">
      <c r="B60" s="181"/>
      <c r="C60" s="161" t="s">
        <v>79</v>
      </c>
      <c r="D60" s="151">
        <f>D59+D58</f>
        <v>0</v>
      </c>
      <c r="E60" s="151">
        <f t="shared" ref="E60:P60" si="31">E59+E58</f>
        <v>0</v>
      </c>
      <c r="F60" s="151">
        <f t="shared" si="31"/>
        <v>0</v>
      </c>
      <c r="G60" s="151">
        <f t="shared" si="31"/>
        <v>0</v>
      </c>
      <c r="H60" s="151">
        <f t="shared" si="31"/>
        <v>0</v>
      </c>
      <c r="I60" s="151">
        <f t="shared" si="31"/>
        <v>0</v>
      </c>
      <c r="J60" s="151">
        <f t="shared" si="31"/>
        <v>0</v>
      </c>
      <c r="K60" s="151">
        <f t="shared" si="31"/>
        <v>0</v>
      </c>
      <c r="L60" s="151">
        <f t="shared" si="31"/>
        <v>0</v>
      </c>
      <c r="M60" s="151">
        <f t="shared" si="31"/>
        <v>0</v>
      </c>
      <c r="N60" s="151">
        <f t="shared" si="31"/>
        <v>0</v>
      </c>
      <c r="O60" s="151">
        <f t="shared" si="31"/>
        <v>0</v>
      </c>
      <c r="P60" s="151">
        <f t="shared" si="31"/>
        <v>0</v>
      </c>
    </row>
    <row r="61" spans="2:16">
      <c r="B61" s="181"/>
      <c r="C61" s="161" t="s">
        <v>31</v>
      </c>
      <c r="D61" s="151">
        <f>D57*22.5%</f>
        <v>23388.750000000004</v>
      </c>
      <c r="E61" s="151">
        <f t="shared" ref="E61:P61" si="32">E57*22.5%</f>
        <v>0</v>
      </c>
      <c r="F61" s="151">
        <f t="shared" si="32"/>
        <v>0</v>
      </c>
      <c r="G61" s="151">
        <f t="shared" si="32"/>
        <v>0</v>
      </c>
      <c r="H61" s="151">
        <f t="shared" si="32"/>
        <v>0</v>
      </c>
      <c r="I61" s="151">
        <f t="shared" si="32"/>
        <v>0</v>
      </c>
      <c r="J61" s="151">
        <f t="shared" si="32"/>
        <v>0</v>
      </c>
      <c r="K61" s="151">
        <f t="shared" si="32"/>
        <v>3508.3125000000005</v>
      </c>
      <c r="L61" s="151">
        <f t="shared" si="32"/>
        <v>3976.087500000001</v>
      </c>
      <c r="M61" s="151">
        <f t="shared" si="32"/>
        <v>4677.75</v>
      </c>
      <c r="N61" s="151">
        <f t="shared" si="32"/>
        <v>4677.75</v>
      </c>
      <c r="O61" s="151">
        <f t="shared" si="32"/>
        <v>4209.9750000000004</v>
      </c>
      <c r="P61" s="151">
        <f t="shared" si="32"/>
        <v>2338.875</v>
      </c>
    </row>
    <row r="62" spans="2:16" ht="14.65" thickBot="1">
      <c r="B62" s="182"/>
      <c r="C62" s="162" t="s">
        <v>77</v>
      </c>
      <c r="D62" s="154">
        <f>D61-D60</f>
        <v>23388.750000000004</v>
      </c>
      <c r="E62" s="154">
        <f t="shared" ref="E62:P62" si="33">E61-E60</f>
        <v>0</v>
      </c>
      <c r="F62" s="154">
        <f t="shared" si="33"/>
        <v>0</v>
      </c>
      <c r="G62" s="154">
        <f t="shared" si="33"/>
        <v>0</v>
      </c>
      <c r="H62" s="154">
        <f t="shared" si="33"/>
        <v>0</v>
      </c>
      <c r="I62" s="154">
        <f t="shared" si="33"/>
        <v>0</v>
      </c>
      <c r="J62" s="154">
        <f t="shared" si="33"/>
        <v>0</v>
      </c>
      <c r="K62" s="154">
        <f t="shared" si="33"/>
        <v>3508.3125000000005</v>
      </c>
      <c r="L62" s="154">
        <f t="shared" si="33"/>
        <v>3976.087500000001</v>
      </c>
      <c r="M62" s="154">
        <f t="shared" si="33"/>
        <v>4677.75</v>
      </c>
      <c r="N62" s="154">
        <f t="shared" si="33"/>
        <v>4677.75</v>
      </c>
      <c r="O62" s="154">
        <f t="shared" si="33"/>
        <v>4209.9750000000004</v>
      </c>
      <c r="P62" s="154">
        <f t="shared" si="33"/>
        <v>2338.875</v>
      </c>
    </row>
    <row r="63" spans="2:16" s="28" customFormat="1" ht="4.5" customHeight="1" thickBot="1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 spans="2:16">
      <c r="B64" s="180" t="s">
        <v>151</v>
      </c>
      <c r="C64" s="158" t="s">
        <v>75</v>
      </c>
      <c r="D64" s="143">
        <f>SUM(E64:P64)</f>
        <v>283500</v>
      </c>
      <c r="E64" s="143"/>
      <c r="F64" s="143"/>
      <c r="G64" s="143"/>
      <c r="H64" s="143"/>
      <c r="I64" s="143"/>
      <c r="J64" s="143"/>
      <c r="K64" s="143">
        <v>42525</v>
      </c>
      <c r="L64" s="143">
        <v>48195</v>
      </c>
      <c r="M64" s="143">
        <v>56700</v>
      </c>
      <c r="N64" s="143">
        <v>56700</v>
      </c>
      <c r="O64" s="143">
        <v>51030</v>
      </c>
      <c r="P64" s="144">
        <v>28350</v>
      </c>
    </row>
    <row r="65" spans="2:16">
      <c r="B65" s="181"/>
      <c r="C65" s="159" t="s">
        <v>30</v>
      </c>
      <c r="D65" s="146">
        <f>D64*0.55</f>
        <v>155925</v>
      </c>
      <c r="E65" s="146">
        <f t="shared" ref="E65" si="34">E64*0.55</f>
        <v>0</v>
      </c>
      <c r="F65" s="146">
        <f t="shared" ref="F65" si="35">F64*0.55</f>
        <v>0</v>
      </c>
      <c r="G65" s="146">
        <f t="shared" ref="G65" si="36">G64*0.55</f>
        <v>0</v>
      </c>
      <c r="H65" s="146">
        <f t="shared" ref="H65" si="37">H64*0.55</f>
        <v>0</v>
      </c>
      <c r="I65" s="146">
        <f t="shared" ref="I65" si="38">I64*0.55</f>
        <v>0</v>
      </c>
      <c r="J65" s="146">
        <f t="shared" ref="J65" si="39">J64*0.55</f>
        <v>0</v>
      </c>
      <c r="K65" s="146">
        <f t="shared" ref="K65" si="40">K64*0.55</f>
        <v>23388.750000000004</v>
      </c>
      <c r="L65" s="146">
        <f t="shared" ref="L65" si="41">L64*0.55</f>
        <v>26507.250000000004</v>
      </c>
      <c r="M65" s="146">
        <f t="shared" ref="M65" si="42">M64*0.55</f>
        <v>31185.000000000004</v>
      </c>
      <c r="N65" s="146">
        <f t="shared" ref="N65" si="43">N64*0.55</f>
        <v>31185.000000000004</v>
      </c>
      <c r="O65" s="146">
        <f t="shared" ref="O65" si="44">O64*0.55</f>
        <v>28066.500000000004</v>
      </c>
      <c r="P65" s="146">
        <f t="shared" ref="P65" si="45">P64*0.55</f>
        <v>15592.500000000002</v>
      </c>
    </row>
    <row r="66" spans="2:16">
      <c r="B66" s="181"/>
      <c r="C66" s="160" t="s">
        <v>76</v>
      </c>
      <c r="D66" s="95">
        <v>0</v>
      </c>
      <c r="E66" s="95">
        <f t="shared" ref="E66:J66" si="46">E65/598*50</f>
        <v>0</v>
      </c>
      <c r="F66" s="95">
        <f t="shared" si="46"/>
        <v>0</v>
      </c>
      <c r="G66" s="95">
        <f t="shared" si="46"/>
        <v>0</v>
      </c>
      <c r="H66" s="95">
        <f t="shared" si="46"/>
        <v>0</v>
      </c>
      <c r="I66" s="95">
        <f t="shared" si="46"/>
        <v>0</v>
      </c>
      <c r="J66" s="95">
        <f t="shared" si="46"/>
        <v>0</v>
      </c>
      <c r="K66" s="95">
        <v>0</v>
      </c>
      <c r="L66" s="95">
        <v>0</v>
      </c>
      <c r="M66" s="95">
        <v>0</v>
      </c>
      <c r="N66" s="95">
        <v>0</v>
      </c>
      <c r="O66" s="95">
        <v>0</v>
      </c>
      <c r="P66" s="163">
        <v>0</v>
      </c>
    </row>
    <row r="67" spans="2:16">
      <c r="B67" s="181"/>
      <c r="C67" s="14" t="s">
        <v>92</v>
      </c>
      <c r="D67" s="8">
        <f>SUM(E67:P67)</f>
        <v>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9"/>
    </row>
    <row r="68" spans="2:16">
      <c r="B68" s="181"/>
      <c r="C68" s="161" t="s">
        <v>79</v>
      </c>
      <c r="D68" s="151">
        <f>D67+D66</f>
        <v>0</v>
      </c>
      <c r="E68" s="151">
        <f t="shared" ref="E68:P68" si="47">E67+E66</f>
        <v>0</v>
      </c>
      <c r="F68" s="151">
        <f t="shared" si="47"/>
        <v>0</v>
      </c>
      <c r="G68" s="151">
        <f t="shared" si="47"/>
        <v>0</v>
      </c>
      <c r="H68" s="151">
        <f t="shared" si="47"/>
        <v>0</v>
      </c>
      <c r="I68" s="151">
        <f t="shared" si="47"/>
        <v>0</v>
      </c>
      <c r="J68" s="151">
        <f t="shared" si="47"/>
        <v>0</v>
      </c>
      <c r="K68" s="151">
        <f t="shared" si="47"/>
        <v>0</v>
      </c>
      <c r="L68" s="151">
        <f t="shared" si="47"/>
        <v>0</v>
      </c>
      <c r="M68" s="151">
        <f t="shared" si="47"/>
        <v>0</v>
      </c>
      <c r="N68" s="151">
        <f t="shared" si="47"/>
        <v>0</v>
      </c>
      <c r="O68" s="151">
        <f t="shared" si="47"/>
        <v>0</v>
      </c>
      <c r="P68" s="151">
        <f t="shared" si="47"/>
        <v>0</v>
      </c>
    </row>
    <row r="69" spans="2:16">
      <c r="B69" s="181"/>
      <c r="C69" s="161" t="s">
        <v>31</v>
      </c>
      <c r="D69" s="151">
        <f>D65*22.5%</f>
        <v>35083.125</v>
      </c>
      <c r="E69" s="151">
        <f t="shared" ref="E69:P69" si="48">E65*22.5%</f>
        <v>0</v>
      </c>
      <c r="F69" s="151">
        <f t="shared" si="48"/>
        <v>0</v>
      </c>
      <c r="G69" s="151">
        <f t="shared" si="48"/>
        <v>0</v>
      </c>
      <c r="H69" s="151">
        <f t="shared" si="48"/>
        <v>0</v>
      </c>
      <c r="I69" s="151">
        <f t="shared" si="48"/>
        <v>0</v>
      </c>
      <c r="J69" s="151">
        <f t="shared" si="48"/>
        <v>0</v>
      </c>
      <c r="K69" s="151">
        <f t="shared" si="48"/>
        <v>5262.4687500000009</v>
      </c>
      <c r="L69" s="151">
        <f t="shared" si="48"/>
        <v>5964.1312500000013</v>
      </c>
      <c r="M69" s="151">
        <f t="shared" si="48"/>
        <v>7016.6250000000009</v>
      </c>
      <c r="N69" s="151">
        <f t="shared" si="48"/>
        <v>7016.6250000000009</v>
      </c>
      <c r="O69" s="151">
        <f t="shared" si="48"/>
        <v>6314.9625000000005</v>
      </c>
      <c r="P69" s="151">
        <f t="shared" si="48"/>
        <v>3508.3125000000005</v>
      </c>
    </row>
    <row r="70" spans="2:16" ht="14.65" thickBot="1">
      <c r="B70" s="182"/>
      <c r="C70" s="162" t="s">
        <v>77</v>
      </c>
      <c r="D70" s="154">
        <f>D69-D68</f>
        <v>35083.125</v>
      </c>
      <c r="E70" s="154">
        <f t="shared" ref="E70:P70" si="49">E69-E68</f>
        <v>0</v>
      </c>
      <c r="F70" s="154">
        <f t="shared" si="49"/>
        <v>0</v>
      </c>
      <c r="G70" s="154">
        <f t="shared" si="49"/>
        <v>0</v>
      </c>
      <c r="H70" s="154">
        <f t="shared" si="49"/>
        <v>0</v>
      </c>
      <c r="I70" s="154">
        <f t="shared" si="49"/>
        <v>0</v>
      </c>
      <c r="J70" s="154">
        <f t="shared" si="49"/>
        <v>0</v>
      </c>
      <c r="K70" s="154">
        <f t="shared" si="49"/>
        <v>5262.4687500000009</v>
      </c>
      <c r="L70" s="154">
        <f t="shared" si="49"/>
        <v>5964.1312500000013</v>
      </c>
      <c r="M70" s="154">
        <f t="shared" si="49"/>
        <v>7016.6250000000009</v>
      </c>
      <c r="N70" s="154">
        <f t="shared" si="49"/>
        <v>7016.6250000000009</v>
      </c>
      <c r="O70" s="154">
        <f t="shared" si="49"/>
        <v>6314.9625000000005</v>
      </c>
      <c r="P70" s="154">
        <f t="shared" si="49"/>
        <v>3508.3125000000005</v>
      </c>
    </row>
    <row r="71" spans="2:16" s="28" customFormat="1" ht="4.5" customHeight="1" thickBot="1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2:16" ht="14.65" thickBot="1">
      <c r="B72" s="180" t="s">
        <v>152</v>
      </c>
      <c r="C72" s="158" t="s">
        <v>153</v>
      </c>
      <c r="D72" s="143">
        <f>D4+D13+D23+D31+D40+D48+D56+D64</f>
        <v>1582875</v>
      </c>
      <c r="E72" s="143">
        <f t="shared" ref="E72:P72" si="50">E4+E13+E23+E31+E40+E48+E56+E64</f>
        <v>16632</v>
      </c>
      <c r="F72" s="143">
        <f t="shared" si="50"/>
        <v>28153.125</v>
      </c>
      <c r="G72" s="143">
        <f t="shared" si="50"/>
        <v>82986.75</v>
      </c>
      <c r="H72" s="143">
        <f t="shared" si="50"/>
        <v>41241.375</v>
      </c>
      <c r="I72" s="143">
        <f t="shared" si="50"/>
        <v>99749.124999999985</v>
      </c>
      <c r="J72" s="143">
        <f t="shared" si="50"/>
        <v>99749.124999999985</v>
      </c>
      <c r="K72" s="143">
        <f t="shared" si="50"/>
        <v>186361</v>
      </c>
      <c r="L72" s="143">
        <f t="shared" si="50"/>
        <v>209548.5</v>
      </c>
      <c r="M72" s="143">
        <f t="shared" si="50"/>
        <v>242527.25</v>
      </c>
      <c r="N72" s="143">
        <f t="shared" si="50"/>
        <v>246731.625</v>
      </c>
      <c r="O72" s="143">
        <f t="shared" si="50"/>
        <v>213534.125</v>
      </c>
      <c r="P72" s="143">
        <f t="shared" si="50"/>
        <v>192661</v>
      </c>
    </row>
    <row r="73" spans="2:16">
      <c r="B73" s="181"/>
      <c r="C73" s="158" t="s">
        <v>154</v>
      </c>
      <c r="D73" s="146">
        <f>D5+D14+D24+D32+D41+D49+D57+D65</f>
        <v>880976.25</v>
      </c>
      <c r="E73" s="146">
        <f t="shared" ref="E73:P73" si="51">E5+E14+E24+E32+E41+E49+E57+E65</f>
        <v>9979.1999999999989</v>
      </c>
      <c r="F73" s="146">
        <f t="shared" si="51"/>
        <v>16159.893749999999</v>
      </c>
      <c r="G73" s="146">
        <f t="shared" si="51"/>
        <v>47201.962500000001</v>
      </c>
      <c r="H73" s="146">
        <f t="shared" si="51"/>
        <v>23254.481249999997</v>
      </c>
      <c r="I73" s="146">
        <f t="shared" si="51"/>
        <v>55901.518750000003</v>
      </c>
      <c r="J73" s="146">
        <f t="shared" si="51"/>
        <v>55901.518750000003</v>
      </c>
      <c r="K73" s="146">
        <f t="shared" si="51"/>
        <v>103382.125</v>
      </c>
      <c r="L73" s="146">
        <f t="shared" si="51"/>
        <v>115927.34999999999</v>
      </c>
      <c r="M73" s="146">
        <f t="shared" si="51"/>
        <v>134169.61250000002</v>
      </c>
      <c r="N73" s="146">
        <f t="shared" si="51"/>
        <v>136533.99374999999</v>
      </c>
      <c r="O73" s="146">
        <f t="shared" si="51"/>
        <v>118067.46875</v>
      </c>
      <c r="P73" s="146">
        <f t="shared" si="51"/>
        <v>106847.125</v>
      </c>
    </row>
    <row r="74" spans="2:16">
      <c r="B74" s="181"/>
      <c r="C74" s="160" t="s">
        <v>76</v>
      </c>
      <c r="D74" s="95">
        <f>D6+D15+D25+D33+D42+D58+D66</f>
        <v>9652.5</v>
      </c>
      <c r="E74" s="95">
        <f t="shared" ref="E74:P74" si="52">E6+E15+E25+E33+E42+E58+E66</f>
        <v>0</v>
      </c>
      <c r="F74" s="95">
        <f t="shared" si="52"/>
        <v>600</v>
      </c>
      <c r="G74" s="95">
        <f t="shared" si="52"/>
        <v>2220.0750000000003</v>
      </c>
      <c r="H74" s="95">
        <f t="shared" si="52"/>
        <v>530.88750000000005</v>
      </c>
      <c r="I74" s="95">
        <f t="shared" si="52"/>
        <v>965.25</v>
      </c>
      <c r="J74" s="95">
        <f t="shared" si="52"/>
        <v>965.25</v>
      </c>
      <c r="K74" s="95">
        <f t="shared" si="52"/>
        <v>820.46249999999998</v>
      </c>
      <c r="L74" s="95">
        <f t="shared" si="52"/>
        <v>627.41250000000002</v>
      </c>
      <c r="M74" s="95">
        <f t="shared" si="52"/>
        <v>723.9375</v>
      </c>
      <c r="N74" s="95">
        <f t="shared" si="52"/>
        <v>772.2</v>
      </c>
      <c r="O74" s="95">
        <f t="shared" si="52"/>
        <v>579.15</v>
      </c>
      <c r="P74" s="95">
        <f t="shared" si="52"/>
        <v>820.46249999999998</v>
      </c>
    </row>
    <row r="75" spans="2:16">
      <c r="B75" s="181"/>
      <c r="C75" s="161" t="s">
        <v>79</v>
      </c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</row>
    <row r="76" spans="2:16">
      <c r="B76" s="181"/>
      <c r="C76" s="161" t="s">
        <v>31</v>
      </c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</row>
    <row r="77" spans="2:16" ht="14.65" thickBot="1">
      <c r="B77" s="182"/>
      <c r="C77" s="162" t="s">
        <v>77</v>
      </c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</row>
  </sheetData>
  <mergeCells count="9">
    <mergeCell ref="B64:B70"/>
    <mergeCell ref="B72:B77"/>
    <mergeCell ref="B4:B11"/>
    <mergeCell ref="B48:B54"/>
    <mergeCell ref="B56:B62"/>
    <mergeCell ref="B13:B21"/>
    <mergeCell ref="B23:B29"/>
    <mergeCell ref="B31:B38"/>
    <mergeCell ref="B40:B46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6366-B916-4167-BEA4-77C90F14D694}">
  <dimension ref="A1:HU15"/>
  <sheetViews>
    <sheetView showGridLines="0" zoomScale="98" zoomScaleNormal="98" workbookViewId="0">
      <selection activeCell="B19" sqref="B19"/>
    </sheetView>
  </sheetViews>
  <sheetFormatPr defaultColWidth="11.46484375" defaultRowHeight="12.75" customHeight="1"/>
  <cols>
    <col min="1" max="1" width="13.796875" style="3" bestFit="1" customWidth="1"/>
    <col min="2" max="2" width="40.46484375" style="3" bestFit="1" customWidth="1"/>
    <col min="3" max="3" width="20.796875" style="3" bestFit="1" customWidth="1"/>
    <col min="4" max="4" width="13.19921875" style="3" bestFit="1" customWidth="1"/>
    <col min="5" max="5" width="11.46484375" style="3" bestFit="1" customWidth="1"/>
    <col min="6" max="6" width="8.6640625" style="3" bestFit="1" customWidth="1"/>
    <col min="7" max="7" width="8.86328125" style="3" bestFit="1" customWidth="1"/>
    <col min="8" max="16384" width="11.46484375" style="3"/>
  </cols>
  <sheetData>
    <row r="1" spans="1:229" ht="59.45" customHeight="1">
      <c r="A1" s="38"/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1"/>
    </row>
    <row r="2" spans="1:229" ht="13.15">
      <c r="A2" s="198" t="s">
        <v>123</v>
      </c>
      <c r="B2" s="199"/>
      <c r="C2" s="199"/>
      <c r="D2" s="199"/>
      <c r="E2" s="199"/>
      <c r="F2" s="199"/>
      <c r="G2" s="199"/>
      <c r="H2" s="127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3"/>
    </row>
    <row r="3" spans="1:229" ht="14.75" customHeight="1">
      <c r="A3" s="192" t="s">
        <v>124</v>
      </c>
      <c r="B3" s="192"/>
      <c r="C3" s="192"/>
      <c r="D3" s="192"/>
      <c r="E3" s="192"/>
      <c r="F3" s="196" t="s">
        <v>143</v>
      </c>
      <c r="G3" s="197"/>
      <c r="H3" s="127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3"/>
    </row>
    <row r="4" spans="1:229" ht="13.15">
      <c r="A4" s="128" t="s">
        <v>146</v>
      </c>
      <c r="B4" s="128" t="s">
        <v>126</v>
      </c>
      <c r="C4" s="129" t="s">
        <v>125</v>
      </c>
      <c r="D4" s="129" t="s">
        <v>142</v>
      </c>
      <c r="E4" s="129" t="s">
        <v>141</v>
      </c>
      <c r="F4" s="130" t="s">
        <v>144</v>
      </c>
      <c r="G4" s="131" t="s">
        <v>145</v>
      </c>
      <c r="H4" s="127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3"/>
    </row>
    <row r="5" spans="1:229" ht="19.25" customHeight="1">
      <c r="A5" s="132">
        <v>6287020840012</v>
      </c>
      <c r="B5" s="133" t="s">
        <v>131</v>
      </c>
      <c r="C5" s="134">
        <v>268.69565217391306</v>
      </c>
      <c r="D5" s="134">
        <v>309</v>
      </c>
      <c r="E5" s="135">
        <v>358</v>
      </c>
      <c r="F5" s="135">
        <v>3</v>
      </c>
      <c r="G5" s="136">
        <v>6</v>
      </c>
      <c r="H5" s="127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3"/>
    </row>
    <row r="6" spans="1:229" ht="19.25" customHeight="1">
      <c r="A6" s="132">
        <v>6287020840029</v>
      </c>
      <c r="B6" s="133" t="s">
        <v>132</v>
      </c>
      <c r="C6" s="134">
        <v>373.04347826087002</v>
      </c>
      <c r="D6" s="134">
        <v>429.00000000000051</v>
      </c>
      <c r="E6" s="135">
        <v>391</v>
      </c>
      <c r="F6" s="135">
        <v>3</v>
      </c>
      <c r="G6" s="136">
        <v>6</v>
      </c>
      <c r="H6" s="127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3"/>
    </row>
    <row r="7" spans="1:229" ht="19.25" customHeight="1">
      <c r="A7" s="132">
        <v>6287020840036</v>
      </c>
      <c r="B7" s="133" t="s">
        <v>133</v>
      </c>
      <c r="C7" s="134">
        <v>294.78260869565219</v>
      </c>
      <c r="D7" s="134">
        <v>339</v>
      </c>
      <c r="E7" s="135">
        <v>345</v>
      </c>
      <c r="F7" s="135">
        <v>3</v>
      </c>
      <c r="G7" s="136">
        <v>6</v>
      </c>
      <c r="H7" s="127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3"/>
    </row>
    <row r="8" spans="1:229" ht="19.25" customHeight="1">
      <c r="A8" s="132">
        <v>6287020840050</v>
      </c>
      <c r="B8" s="133" t="s">
        <v>134</v>
      </c>
      <c r="C8" s="134">
        <v>312.17391304347831</v>
      </c>
      <c r="D8" s="134">
        <v>359</v>
      </c>
      <c r="E8" s="135">
        <v>315</v>
      </c>
      <c r="F8" s="135">
        <v>3</v>
      </c>
      <c r="G8" s="136">
        <v>6</v>
      </c>
      <c r="H8" s="127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3"/>
    </row>
    <row r="9" spans="1:229" ht="19.25" customHeight="1">
      <c r="A9" s="132">
        <v>6287020840067</v>
      </c>
      <c r="B9" s="133" t="s">
        <v>162</v>
      </c>
      <c r="C9" s="134">
        <v>320.86956521739131</v>
      </c>
      <c r="D9" s="134">
        <v>369</v>
      </c>
      <c r="E9" s="135">
        <v>455</v>
      </c>
      <c r="F9" s="135">
        <v>3</v>
      </c>
      <c r="G9" s="136">
        <v>6</v>
      </c>
      <c r="H9" s="137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3"/>
    </row>
    <row r="10" spans="1:229" ht="19.25" customHeight="1">
      <c r="A10" s="132">
        <v>6287020840074</v>
      </c>
      <c r="B10" s="133" t="s">
        <v>135</v>
      </c>
      <c r="C10" s="134">
        <v>320.86956521739131</v>
      </c>
      <c r="D10" s="134">
        <v>369</v>
      </c>
      <c r="E10" s="135">
        <v>477</v>
      </c>
      <c r="F10" s="135">
        <v>3</v>
      </c>
      <c r="G10" s="136">
        <v>6</v>
      </c>
      <c r="H10" s="127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3"/>
    </row>
    <row r="11" spans="1:229" ht="14.75" customHeight="1">
      <c r="A11" s="193" t="s">
        <v>127</v>
      </c>
      <c r="B11" s="194"/>
      <c r="C11" s="194"/>
      <c r="D11" s="194"/>
      <c r="E11" s="194"/>
      <c r="F11" s="194"/>
      <c r="G11" s="195"/>
      <c r="H11" s="127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3"/>
    </row>
    <row r="12" spans="1:229" ht="19.25" customHeight="1">
      <c r="A12" s="132">
        <v>6287020840081</v>
      </c>
      <c r="B12" s="133" t="s">
        <v>128</v>
      </c>
      <c r="C12" s="134">
        <v>164.34782608695653</v>
      </c>
      <c r="D12" s="134">
        <v>189</v>
      </c>
      <c r="E12" s="135">
        <v>383</v>
      </c>
      <c r="F12" s="135">
        <v>6</v>
      </c>
      <c r="G12" s="136">
        <v>12</v>
      </c>
      <c r="H12" s="127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3"/>
    </row>
    <row r="13" spans="1:229" ht="19.25" customHeight="1">
      <c r="A13" s="132">
        <v>6287020840104</v>
      </c>
      <c r="B13" s="133" t="s">
        <v>129</v>
      </c>
      <c r="C13" s="134">
        <v>164.34782608695653</v>
      </c>
      <c r="D13" s="134">
        <v>189</v>
      </c>
      <c r="E13" s="135">
        <v>461</v>
      </c>
      <c r="F13" s="135">
        <v>6</v>
      </c>
      <c r="G13" s="136">
        <v>12</v>
      </c>
      <c r="H13" s="127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3"/>
    </row>
    <row r="14" spans="1:229" ht="19.25" customHeight="1">
      <c r="A14" s="132">
        <v>6287020840098</v>
      </c>
      <c r="B14" s="133" t="s">
        <v>130</v>
      </c>
      <c r="C14" s="134">
        <v>173.04347826086959</v>
      </c>
      <c r="D14" s="134">
        <v>199.00000000000003</v>
      </c>
      <c r="E14" s="135">
        <v>272</v>
      </c>
      <c r="F14" s="135">
        <v>6</v>
      </c>
      <c r="G14" s="136">
        <v>12</v>
      </c>
      <c r="H14" s="127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3"/>
    </row>
    <row r="15" spans="1:229">
      <c r="A15" s="44"/>
      <c r="B15" s="42"/>
      <c r="C15" s="45"/>
      <c r="D15" s="45"/>
      <c r="E15" s="47"/>
      <c r="F15" s="47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3"/>
    </row>
  </sheetData>
  <mergeCells count="4">
    <mergeCell ref="A3:E3"/>
    <mergeCell ref="A11:G11"/>
    <mergeCell ref="F3:G3"/>
    <mergeCell ref="A2:G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INN</vt:lpstr>
      <vt:lpstr>PRICE STRUCTURE</vt:lpstr>
      <vt:lpstr>Sheet6</vt:lpstr>
      <vt:lpstr>Summary By Brands</vt:lpstr>
      <vt:lpstr>Summary By Retiller</vt:lpstr>
      <vt:lpstr>Master</vt:lpstr>
      <vt:lpstr>JUSBOX</vt:lpstr>
      <vt:lpstr>Building Block</vt:lpstr>
      <vt:lpstr>NN FORECAST</vt:lpstr>
      <vt:lpstr>'PRICE STRUCTURE'!Print_Area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</dc:creator>
  <cp:lastModifiedBy>Radwan</cp:lastModifiedBy>
  <dcterms:created xsi:type="dcterms:W3CDTF">2024-09-04T07:47:18Z</dcterms:created>
  <dcterms:modified xsi:type="dcterms:W3CDTF">2026-06-08T09:44:23Z</dcterms:modified>
</cp:coreProperties>
</file>