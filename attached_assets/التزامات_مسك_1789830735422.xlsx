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7\Desktop\hussam c drive data\desktop\Clintes\مسك اللولو\"/>
    </mc:Choice>
  </mc:AlternateContent>
  <xr:revisionPtr revIDLastSave="0" documentId="8_{A0DA7942-FF7A-42E4-85D4-A97B782F57DB}" xr6:coauthVersionLast="47" xr6:coauthVersionMax="47" xr10:uidLastSave="{00000000-0000-0000-0000-000000000000}"/>
  <bookViews>
    <workbookView xWindow="-110" yWindow="-110" windowWidth="19420" windowHeight="11500" xr2:uid="{AC7D38A2-29F8-4D3A-B28A-A25F3F51C7F1}"/>
  </bookViews>
  <sheets>
    <sheet name="المخزون الكلي" sheetId="7" r:id="rId1"/>
    <sheet name="المخوزن الفعلي" sheetId="6" r:id="rId2"/>
    <sheet name="الالتزامات" sheetId="1" r:id="rId3"/>
    <sheet name="خطة السداد" sheetId="2" r:id="rId4"/>
    <sheet name="الكميات التي تم تصنيعها 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E7" i="6"/>
  <c r="K7" i="6"/>
  <c r="L7" i="6"/>
  <c r="L23" i="6" s="1"/>
  <c r="L25" i="6" s="1"/>
  <c r="D8" i="6"/>
  <c r="L8" i="6"/>
  <c r="D9" i="6"/>
  <c r="K9" i="6"/>
  <c r="D10" i="6"/>
  <c r="K10" i="6"/>
  <c r="D11" i="6"/>
  <c r="D12" i="6"/>
  <c r="K12" i="6"/>
  <c r="D13" i="6"/>
  <c r="K13" i="6"/>
  <c r="D14" i="6"/>
  <c r="K14" i="6"/>
  <c r="D15" i="6"/>
  <c r="K16" i="6"/>
  <c r="D17" i="6"/>
  <c r="E17" i="6"/>
  <c r="E20" i="6" s="1"/>
  <c r="E22" i="6" s="1"/>
  <c r="K17" i="6"/>
  <c r="K19" i="6"/>
  <c r="L19" i="6"/>
  <c r="C20" i="6"/>
  <c r="L21" i="6"/>
  <c r="L22" i="6"/>
  <c r="E23" i="6"/>
  <c r="J23" i="6"/>
  <c r="L26" i="6"/>
  <c r="D32" i="6"/>
  <c r="E32" i="6"/>
  <c r="K32" i="6"/>
  <c r="L32" i="6" s="1"/>
  <c r="E33" i="6"/>
  <c r="L33" i="6"/>
  <c r="D34" i="6"/>
  <c r="K34" i="6"/>
  <c r="D35" i="6"/>
  <c r="K35" i="6"/>
  <c r="D36" i="6"/>
  <c r="K36" i="6"/>
  <c r="D37" i="6"/>
  <c r="K37" i="6"/>
  <c r="D38" i="6"/>
  <c r="K38" i="6"/>
  <c r="D39" i="6"/>
  <c r="K39" i="6"/>
  <c r="D40" i="6"/>
  <c r="K40" i="6"/>
  <c r="D41" i="6"/>
  <c r="K41" i="6"/>
  <c r="D43" i="6"/>
  <c r="E43" i="6"/>
  <c r="K43" i="6"/>
  <c r="L43" i="6"/>
  <c r="E46" i="6"/>
  <c r="L46" i="6"/>
  <c r="E47" i="6"/>
  <c r="L47" i="6"/>
  <c r="C48" i="6"/>
  <c r="J48" i="6"/>
  <c r="E51" i="6"/>
  <c r="L51" i="6"/>
  <c r="D60" i="6"/>
  <c r="E60" i="6" s="1"/>
  <c r="K60" i="6"/>
  <c r="L60" i="6"/>
  <c r="E61" i="6"/>
  <c r="L61" i="6"/>
  <c r="D62" i="6"/>
  <c r="K62" i="6"/>
  <c r="K63" i="6"/>
  <c r="D64" i="6"/>
  <c r="K64" i="6"/>
  <c r="D65" i="6"/>
  <c r="K65" i="6"/>
  <c r="K77" i="6" s="1"/>
  <c r="L81" i="6" s="1"/>
  <c r="D66" i="6"/>
  <c r="K66" i="6"/>
  <c r="D67" i="6"/>
  <c r="K67" i="6"/>
  <c r="D68" i="6"/>
  <c r="K68" i="6"/>
  <c r="D69" i="6"/>
  <c r="K69" i="6"/>
  <c r="D70" i="6"/>
  <c r="K70" i="6"/>
  <c r="D71" i="6"/>
  <c r="E71" i="6"/>
  <c r="K71" i="6"/>
  <c r="L71" i="6"/>
  <c r="D72" i="6"/>
  <c r="E72" i="6"/>
  <c r="K72" i="6"/>
  <c r="L72" i="6"/>
  <c r="E75" i="6"/>
  <c r="L75" i="6"/>
  <c r="E76" i="6"/>
  <c r="L76" i="6"/>
  <c r="C77" i="6"/>
  <c r="J77" i="6"/>
  <c r="E80" i="6"/>
  <c r="L80" i="6"/>
  <c r="D87" i="6"/>
  <c r="E87" i="6" s="1"/>
  <c r="E103" i="6" s="1"/>
  <c r="E105" i="6" s="1"/>
  <c r="K87" i="6"/>
  <c r="L87" i="6"/>
  <c r="E88" i="6"/>
  <c r="L88" i="6"/>
  <c r="D89" i="6"/>
  <c r="K89" i="6"/>
  <c r="D90" i="6"/>
  <c r="K90" i="6"/>
  <c r="D91" i="6"/>
  <c r="K91" i="6"/>
  <c r="D92" i="6"/>
  <c r="K92" i="6"/>
  <c r="D93" i="6"/>
  <c r="K93" i="6"/>
  <c r="D94" i="6"/>
  <c r="K94" i="6"/>
  <c r="D95" i="6"/>
  <c r="K95" i="6"/>
  <c r="D96" i="6"/>
  <c r="K96" i="6"/>
  <c r="D97" i="6"/>
  <c r="E97" i="6"/>
  <c r="K97" i="6"/>
  <c r="L97" i="6"/>
  <c r="D98" i="6"/>
  <c r="E98" i="6"/>
  <c r="K98" i="6"/>
  <c r="L98" i="6"/>
  <c r="E101" i="6"/>
  <c r="L101" i="6"/>
  <c r="L103" i="6" s="1"/>
  <c r="L105" i="6" s="1"/>
  <c r="E102" i="6"/>
  <c r="C103" i="6"/>
  <c r="J103" i="6"/>
  <c r="E106" i="6"/>
  <c r="L106" i="6"/>
  <c r="D113" i="6"/>
  <c r="D129" i="6" s="1"/>
  <c r="E133" i="6" s="1"/>
  <c r="E114" i="6"/>
  <c r="D115" i="6"/>
  <c r="D116" i="6"/>
  <c r="D117" i="6"/>
  <c r="D118" i="6"/>
  <c r="E118" i="6"/>
  <c r="D119" i="6"/>
  <c r="D120" i="6"/>
  <c r="D121" i="6"/>
  <c r="D122" i="6"/>
  <c r="D123" i="6"/>
  <c r="E123" i="6"/>
  <c r="D124" i="6"/>
  <c r="E124" i="6"/>
  <c r="E127" i="6"/>
  <c r="E128" i="6"/>
  <c r="C129" i="6"/>
  <c r="E132" i="6"/>
  <c r="K143" i="6"/>
  <c r="L143" i="6"/>
  <c r="K144" i="6"/>
  <c r="L144" i="6"/>
  <c r="K145" i="6"/>
  <c r="L145" i="6"/>
  <c r="D146" i="6"/>
  <c r="E146" i="6"/>
  <c r="K146" i="6"/>
  <c r="L146" i="6"/>
  <c r="D147" i="6"/>
  <c r="D153" i="6" s="1"/>
  <c r="E147" i="6"/>
  <c r="D148" i="6"/>
  <c r="E148" i="6"/>
  <c r="D149" i="6"/>
  <c r="E149" i="6"/>
  <c r="E151" i="6"/>
  <c r="E153" i="6" s="1"/>
  <c r="C153" i="6"/>
  <c r="J153" i="6"/>
  <c r="E156" i="6"/>
  <c r="L156" i="6"/>
  <c r="D164" i="6"/>
  <c r="D165" i="6"/>
  <c r="D166" i="6"/>
  <c r="D167" i="6"/>
  <c r="D168" i="6"/>
  <c r="D42" i="7"/>
  <c r="K42" i="7"/>
  <c r="D16" i="7"/>
  <c r="K15" i="7"/>
  <c r="K11" i="7"/>
  <c r="L9" i="7"/>
  <c r="L10" i="7"/>
  <c r="L11" i="7"/>
  <c r="L12" i="7"/>
  <c r="L13" i="7"/>
  <c r="L159" i="7"/>
  <c r="E159" i="7"/>
  <c r="J156" i="7"/>
  <c r="C156" i="7"/>
  <c r="E154" i="7"/>
  <c r="E152" i="7"/>
  <c r="D152" i="7"/>
  <c r="E151" i="7"/>
  <c r="D151" i="7"/>
  <c r="E150" i="7"/>
  <c r="D150" i="7"/>
  <c r="L149" i="7"/>
  <c r="K149" i="7"/>
  <c r="E149" i="7"/>
  <c r="D149" i="7"/>
  <c r="L148" i="7"/>
  <c r="K148" i="7"/>
  <c r="L147" i="7"/>
  <c r="K147" i="7"/>
  <c r="L146" i="7"/>
  <c r="K146" i="7"/>
  <c r="E132" i="7"/>
  <c r="C129" i="7"/>
  <c r="E128" i="7"/>
  <c r="E127" i="7"/>
  <c r="E124" i="7"/>
  <c r="D124" i="7"/>
  <c r="E123" i="7"/>
  <c r="D123" i="7"/>
  <c r="D122" i="7"/>
  <c r="D121" i="7"/>
  <c r="D120" i="7"/>
  <c r="D119" i="7"/>
  <c r="E118" i="7"/>
  <c r="D118" i="7"/>
  <c r="D117" i="7"/>
  <c r="D116" i="7"/>
  <c r="D115" i="7"/>
  <c r="E114" i="7"/>
  <c r="D113" i="7"/>
  <c r="L106" i="7"/>
  <c r="E106" i="7"/>
  <c r="J103" i="7"/>
  <c r="C103" i="7"/>
  <c r="E102" i="7"/>
  <c r="L101" i="7"/>
  <c r="E101" i="7"/>
  <c r="L98" i="7"/>
  <c r="K98" i="7"/>
  <c r="E98" i="7"/>
  <c r="D98" i="7"/>
  <c r="L97" i="7"/>
  <c r="K97" i="7"/>
  <c r="E97" i="7"/>
  <c r="D97" i="7"/>
  <c r="K96" i="7"/>
  <c r="D96" i="7"/>
  <c r="K95" i="7"/>
  <c r="D95" i="7"/>
  <c r="K94" i="7"/>
  <c r="D94" i="7"/>
  <c r="K93" i="7"/>
  <c r="D93" i="7"/>
  <c r="K92" i="7"/>
  <c r="D92" i="7"/>
  <c r="K91" i="7"/>
  <c r="D91" i="7"/>
  <c r="K90" i="7"/>
  <c r="D90" i="7"/>
  <c r="K89" i="7"/>
  <c r="D89" i="7"/>
  <c r="L88" i="7"/>
  <c r="E88" i="7"/>
  <c r="K87" i="7"/>
  <c r="L87" i="7" s="1"/>
  <c r="D87" i="7"/>
  <c r="E87" i="7" s="1"/>
  <c r="L80" i="7"/>
  <c r="E80" i="7"/>
  <c r="J77" i="7"/>
  <c r="C77" i="7"/>
  <c r="L76" i="7"/>
  <c r="E76" i="7"/>
  <c r="L75" i="7"/>
  <c r="E75" i="7"/>
  <c r="K72" i="7"/>
  <c r="D72" i="7"/>
  <c r="K71" i="7"/>
  <c r="D71" i="7"/>
  <c r="K70" i="7"/>
  <c r="D70" i="7"/>
  <c r="K69" i="7"/>
  <c r="D69" i="7"/>
  <c r="K68" i="7"/>
  <c r="D68" i="7"/>
  <c r="K67" i="7"/>
  <c r="D67" i="7"/>
  <c r="K66" i="7"/>
  <c r="D66" i="7"/>
  <c r="K65" i="7"/>
  <c r="D65" i="7"/>
  <c r="K64" i="7"/>
  <c r="D64" i="7"/>
  <c r="K63" i="7"/>
  <c r="K62" i="7"/>
  <c r="D62" i="7"/>
  <c r="L61" i="7"/>
  <c r="E61" i="7"/>
  <c r="K60" i="7"/>
  <c r="L60" i="7" s="1"/>
  <c r="D60" i="7"/>
  <c r="E60" i="7" s="1"/>
  <c r="L51" i="7"/>
  <c r="E51" i="7"/>
  <c r="J48" i="7"/>
  <c r="C48" i="7"/>
  <c r="L47" i="7"/>
  <c r="E47" i="7"/>
  <c r="L46" i="7"/>
  <c r="E46" i="7"/>
  <c r="K43" i="7"/>
  <c r="D43" i="7"/>
  <c r="K41" i="7"/>
  <c r="D41" i="7"/>
  <c r="K40" i="7"/>
  <c r="D40" i="7"/>
  <c r="K39" i="7"/>
  <c r="D39" i="7"/>
  <c r="K38" i="7"/>
  <c r="D38" i="7"/>
  <c r="K37" i="7"/>
  <c r="D37" i="7"/>
  <c r="K36" i="7"/>
  <c r="D36" i="7"/>
  <c r="K35" i="7"/>
  <c r="D35" i="7"/>
  <c r="K34" i="7"/>
  <c r="D34" i="7"/>
  <c r="L33" i="7"/>
  <c r="E33" i="7"/>
  <c r="K32" i="7"/>
  <c r="L32" i="7" s="1"/>
  <c r="D32" i="7"/>
  <c r="E32" i="7" s="1"/>
  <c r="L26" i="7"/>
  <c r="J23" i="7"/>
  <c r="E23" i="7"/>
  <c r="L22" i="7"/>
  <c r="L21" i="7"/>
  <c r="C20" i="7"/>
  <c r="L19" i="7"/>
  <c r="K19" i="7"/>
  <c r="K17" i="7"/>
  <c r="E17" i="7"/>
  <c r="D17" i="7"/>
  <c r="K16" i="7"/>
  <c r="D15" i="7"/>
  <c r="K14" i="7"/>
  <c r="D14" i="7"/>
  <c r="K13" i="7"/>
  <c r="D13" i="7"/>
  <c r="K12" i="7"/>
  <c r="D12" i="7"/>
  <c r="D11" i="7"/>
  <c r="K10" i="7"/>
  <c r="D10" i="7"/>
  <c r="K9" i="7"/>
  <c r="D9" i="7"/>
  <c r="L8" i="7"/>
  <c r="D8" i="7"/>
  <c r="K7" i="7"/>
  <c r="L7" i="7" s="1"/>
  <c r="D7" i="7"/>
  <c r="B62" i="2"/>
  <c r="D110" i="2"/>
  <c r="C112" i="2" s="1"/>
  <c r="E114" i="2"/>
  <c r="D115" i="2" s="1"/>
  <c r="L48" i="6" l="1"/>
  <c r="L50" i="6" s="1"/>
  <c r="D77" i="6"/>
  <c r="E81" i="6" s="1"/>
  <c r="E113" i="6"/>
  <c r="E129" i="6" s="1"/>
  <c r="E131" i="6" s="1"/>
  <c r="E48" i="6"/>
  <c r="E50" i="6" s="1"/>
  <c r="L77" i="6"/>
  <c r="L79" i="6" s="1"/>
  <c r="D48" i="6"/>
  <c r="E52" i="6" s="1"/>
  <c r="L153" i="6"/>
  <c r="K153" i="6"/>
  <c r="E77" i="6"/>
  <c r="E79" i="6" s="1"/>
  <c r="D20" i="6"/>
  <c r="E24" i="6" s="1"/>
  <c r="D172" i="6"/>
  <c r="K23" i="6"/>
  <c r="L27" i="6" s="1"/>
  <c r="K103" i="6"/>
  <c r="L107" i="6" s="1"/>
  <c r="K48" i="6"/>
  <c r="L52" i="6" s="1"/>
  <c r="E103" i="7"/>
  <c r="E105" i="7" s="1"/>
  <c r="D103" i="6"/>
  <c r="E107" i="6" s="1"/>
  <c r="L103" i="7"/>
  <c r="L105" i="7" s="1"/>
  <c r="E48" i="7"/>
  <c r="E50" i="7" s="1"/>
  <c r="L156" i="7"/>
  <c r="K103" i="7"/>
  <c r="L107" i="7" s="1"/>
  <c r="L48" i="7"/>
  <c r="L50" i="7" s="1"/>
  <c r="L77" i="7"/>
  <c r="L79" i="7" s="1"/>
  <c r="D77" i="7"/>
  <c r="E81" i="7" s="1"/>
  <c r="D20" i="7"/>
  <c r="E24" i="7" s="1"/>
  <c r="D129" i="7"/>
  <c r="E133" i="7" s="1"/>
  <c r="K156" i="7"/>
  <c r="E77" i="7"/>
  <c r="E79" i="7" s="1"/>
  <c r="K23" i="7"/>
  <c r="L27" i="7" s="1"/>
  <c r="L23" i="7"/>
  <c r="L25" i="7" s="1"/>
  <c r="D103" i="7"/>
  <c r="E107" i="7" s="1"/>
  <c r="D156" i="7"/>
  <c r="E156" i="7"/>
  <c r="D48" i="7"/>
  <c r="E52" i="7" s="1"/>
  <c r="E113" i="7"/>
  <c r="E129" i="7" s="1"/>
  <c r="E131" i="7" s="1"/>
  <c r="K77" i="7"/>
  <c r="L81" i="7" s="1"/>
  <c r="E7" i="7"/>
  <c r="E20" i="7" s="1"/>
  <c r="E22" i="7" s="1"/>
  <c r="K48" i="7"/>
  <c r="L52" i="7" s="1"/>
  <c r="D112" i="2"/>
  <c r="O94" i="2"/>
  <c r="O96" i="2" l="1"/>
  <c r="O48" i="2"/>
  <c r="B16" i="2" l="1"/>
  <c r="B17" i="2"/>
  <c r="B66" i="2"/>
  <c r="B67" i="2"/>
  <c r="M17" i="4" l="1"/>
  <c r="L17" i="4"/>
  <c r="K17" i="4"/>
  <c r="J17" i="4"/>
  <c r="I17" i="4"/>
  <c r="H17" i="4"/>
  <c r="G17" i="4"/>
  <c r="F17" i="4"/>
  <c r="D88" i="2"/>
  <c r="E88" i="2"/>
  <c r="E101" i="2" s="1"/>
  <c r="F88" i="2"/>
  <c r="G88" i="2"/>
  <c r="H88" i="2"/>
  <c r="I88" i="2"/>
  <c r="J88" i="2"/>
  <c r="K88" i="2"/>
  <c r="L88" i="2"/>
  <c r="M88" i="2"/>
  <c r="N88" i="2"/>
  <c r="C88" i="2"/>
  <c r="C101" i="2" s="1"/>
  <c r="B88" i="2" l="1"/>
  <c r="O43" i="2" l="1"/>
  <c r="B80" i="2"/>
  <c r="B81" i="2"/>
  <c r="O81" i="2" s="1"/>
  <c r="B82" i="2"/>
  <c r="B83" i="2"/>
  <c r="O83" i="2" s="1"/>
  <c r="O87" i="2" l="1"/>
  <c r="B70" i="2"/>
  <c r="B21" i="2"/>
  <c r="B73" i="2"/>
  <c r="O73" i="2" s="1"/>
  <c r="O69" i="2"/>
  <c r="B68" i="2"/>
  <c r="O68" i="2" s="1"/>
  <c r="B84" i="2"/>
  <c r="O84" i="2" s="1"/>
  <c r="B56" i="2"/>
  <c r="B58" i="2"/>
  <c r="B64" i="2"/>
  <c r="B63" i="2"/>
  <c r="B71" i="2"/>
  <c r="B65" i="2"/>
  <c r="B101" i="2" l="1"/>
  <c r="O37" i="2" l="1"/>
  <c r="B37" i="2"/>
  <c r="B10" i="2" l="1"/>
  <c r="B20" i="2"/>
  <c r="B6" i="2"/>
  <c r="B14" i="2"/>
  <c r="B15" i="2"/>
  <c r="N101" i="2" l="1"/>
  <c r="N104" i="2" s="1"/>
  <c r="M101" i="2"/>
  <c r="M104" i="2" s="1"/>
  <c r="L101" i="2"/>
  <c r="K101" i="2"/>
  <c r="K104" i="2" s="1"/>
  <c r="J101" i="2"/>
  <c r="I101" i="2"/>
  <c r="H101" i="2"/>
  <c r="G101" i="2"/>
  <c r="F101" i="2"/>
  <c r="D101" i="2"/>
  <c r="O92" i="2"/>
  <c r="O95" i="2"/>
  <c r="O93" i="2"/>
  <c r="O91" i="2"/>
  <c r="O90" i="2"/>
  <c r="O89" i="2"/>
  <c r="O41" i="2"/>
  <c r="N49" i="2"/>
  <c r="M49" i="2"/>
  <c r="L49" i="2"/>
  <c r="K49" i="2"/>
  <c r="J49" i="2"/>
  <c r="I49" i="2"/>
  <c r="H49" i="2"/>
  <c r="G49" i="2"/>
  <c r="F49" i="2"/>
  <c r="E49" i="2"/>
  <c r="D49" i="2"/>
  <c r="C49" i="2"/>
  <c r="O45" i="2"/>
  <c r="O44" i="2"/>
  <c r="O42" i="2"/>
  <c r="O40" i="2"/>
  <c r="O39" i="2"/>
  <c r="O38" i="2"/>
  <c r="E17" i="4" l="1"/>
  <c r="D17" i="4"/>
  <c r="C17" i="4"/>
  <c r="B17" i="4"/>
  <c r="N17" i="4" l="1"/>
  <c r="B27" i="1"/>
  <c r="B39" i="1" l="1"/>
  <c r="O49" i="2" l="1"/>
  <c r="B49" i="2"/>
  <c r="O101" i="2"/>
</calcChain>
</file>

<file path=xl/sharedStrings.xml><?xml version="1.0" encoding="utf-8"?>
<sst xmlns="http://schemas.openxmlformats.org/spreadsheetml/2006/main" count="871" uniqueCount="219">
  <si>
    <t>التزام(حقوق للغير ،حقوق للموظفين ،حقوق للغير )</t>
  </si>
  <si>
    <t>ستورج ستيشن</t>
  </si>
  <si>
    <t>راتب المحاسب</t>
  </si>
  <si>
    <t>بدور</t>
  </si>
  <si>
    <t>الاسم</t>
  </si>
  <si>
    <t>المبلغ</t>
  </si>
  <si>
    <t xml:space="preserve">الاسم </t>
  </si>
  <si>
    <t>الوالد</t>
  </si>
  <si>
    <t>المحامي</t>
  </si>
  <si>
    <t>روان</t>
  </si>
  <si>
    <t>ملاك</t>
  </si>
  <si>
    <t>الإجمالي</t>
  </si>
  <si>
    <t>تم سداد</t>
  </si>
  <si>
    <t>المستفيد</t>
  </si>
  <si>
    <t>يناير</t>
  </si>
  <si>
    <t>فبراير</t>
  </si>
  <si>
    <t>مارس</t>
  </si>
  <si>
    <t>ابريل</t>
  </si>
  <si>
    <t>مايو</t>
  </si>
  <si>
    <t>جون</t>
  </si>
  <si>
    <t>جولاي</t>
  </si>
  <si>
    <t>أغسطس</t>
  </si>
  <si>
    <t>سبتمبر</t>
  </si>
  <si>
    <t>أكتوبر</t>
  </si>
  <si>
    <t>نوفمبر</t>
  </si>
  <si>
    <t>ديسمبر</t>
  </si>
  <si>
    <t>عبدالله</t>
  </si>
  <si>
    <t>الوالد-شركة الغاز</t>
  </si>
  <si>
    <t>الوالدة</t>
  </si>
  <si>
    <t>الضريبة</t>
  </si>
  <si>
    <t>الباقي</t>
  </si>
  <si>
    <t xml:space="preserve">اشتراك الايميلات </t>
  </si>
  <si>
    <t xml:space="preserve">شركة متعب </t>
  </si>
  <si>
    <t>اشتراك الايميلات</t>
  </si>
  <si>
    <t>START</t>
  </si>
  <si>
    <t>البيان</t>
  </si>
  <si>
    <t>العدد</t>
  </si>
  <si>
    <t>سعر الوحدة</t>
  </si>
  <si>
    <t>التكلفة الاجمالية</t>
  </si>
  <si>
    <t>التعبئة والتغليف</t>
  </si>
  <si>
    <t>كراتين العطور</t>
  </si>
  <si>
    <t>تكاليف شحن داخلي</t>
  </si>
  <si>
    <t>تكاليف شحن دولي</t>
  </si>
  <si>
    <t>تخليص جمركي</t>
  </si>
  <si>
    <t>الاجمالـــــــي</t>
  </si>
  <si>
    <t>المصمم</t>
  </si>
  <si>
    <t xml:space="preserve">الكميات التي تم تصنيعها </t>
  </si>
  <si>
    <t>اسم المنتج</t>
  </si>
  <si>
    <t>رويال مسك</t>
  </si>
  <si>
    <t xml:space="preserve">التاريخ </t>
  </si>
  <si>
    <t>رويال عود</t>
  </si>
  <si>
    <t>رويال جازمين</t>
  </si>
  <si>
    <t>رويال كولكشن</t>
  </si>
  <si>
    <t>اسم النتج</t>
  </si>
  <si>
    <t>2018-2019</t>
  </si>
  <si>
    <t>2020-2021</t>
  </si>
  <si>
    <t>الإجمــالي</t>
  </si>
  <si>
    <t>الزيت العطري - رويال مسك</t>
  </si>
  <si>
    <t>تكلفة العطر الواحد</t>
  </si>
  <si>
    <t xml:space="preserve">سعر البيع النهائي </t>
  </si>
  <si>
    <t xml:space="preserve">صافي الربح في العطر الواحد </t>
  </si>
  <si>
    <t>إجمالي قيمة البضاعة</t>
  </si>
  <si>
    <t>صافي الربح النهائي</t>
  </si>
  <si>
    <t>أغطيه للعلب</t>
  </si>
  <si>
    <t>السداد من حساب</t>
  </si>
  <si>
    <t>رسوم اشتراك سلة برو</t>
  </si>
  <si>
    <t>سنوي</t>
  </si>
  <si>
    <t>اشتراك سلة برو</t>
  </si>
  <si>
    <t>الزيت العطري - رويال عود</t>
  </si>
  <si>
    <t>علبة زجاج 50 مل</t>
  </si>
  <si>
    <t>الزيت العطري - ليدي لولو</t>
  </si>
  <si>
    <t>شهادة الزيت</t>
  </si>
  <si>
    <t>طباعة اسفل الزجاج</t>
  </si>
  <si>
    <t>ضيافة اجتماعات</t>
  </si>
  <si>
    <t>شهري</t>
  </si>
  <si>
    <t>صدقة مبيعات شهرية</t>
  </si>
  <si>
    <t>الزيت العطري - رويال جازمين</t>
  </si>
  <si>
    <t>بخاخ "بمب"-كوستر</t>
  </si>
  <si>
    <t>بخاخ "بمب"-كوستر"</t>
  </si>
  <si>
    <t>إلتزامات مالية وخطة السداد  2025</t>
  </si>
  <si>
    <t>إلتزامات مالية وخطة السداد  2026</t>
  </si>
  <si>
    <t xml:space="preserve">تكاليف شحن داخلي </t>
  </si>
  <si>
    <t xml:space="preserve">التكاليف الفعلية </t>
  </si>
  <si>
    <t>اشتراك هيئة الترقيم</t>
  </si>
  <si>
    <t>الزكاة</t>
  </si>
  <si>
    <t>كولار</t>
  </si>
  <si>
    <t>قطعة حديد "شعار الماركة"</t>
  </si>
  <si>
    <t>قطعة حديد"شعار الماركة</t>
  </si>
  <si>
    <t>العينات</t>
  </si>
  <si>
    <t>تعبئة العينات</t>
  </si>
  <si>
    <t>الشحن الداخلي</t>
  </si>
  <si>
    <t xml:space="preserve">العينات </t>
  </si>
  <si>
    <t xml:space="preserve">الزيت العطري </t>
  </si>
  <si>
    <t>الزيت العطري -ايفورا</t>
  </si>
  <si>
    <t>الزيت العطري -</t>
  </si>
  <si>
    <t>علبة زجاج 30 مل</t>
  </si>
  <si>
    <t>طباعة على الزجاج</t>
  </si>
  <si>
    <t xml:space="preserve">طباعة على الزجاج </t>
  </si>
  <si>
    <t>اشتراك الرد الالي</t>
  </si>
  <si>
    <t>ميزانية تسويق</t>
  </si>
  <si>
    <t>تكاليف مصاريف معارض</t>
  </si>
  <si>
    <t>ايجارات معارض</t>
  </si>
  <si>
    <t>راتب هيا</t>
  </si>
  <si>
    <t>زيوت اسانيا</t>
  </si>
  <si>
    <t>زيت المسك</t>
  </si>
  <si>
    <t>المطبعه</t>
  </si>
  <si>
    <t>إدارة محتوى سوشال ميديا</t>
  </si>
  <si>
    <t>المصنع</t>
  </si>
  <si>
    <t>مصاريف نقل وشحن</t>
  </si>
  <si>
    <t>تكاليف سفر</t>
  </si>
  <si>
    <t>فاتورة جوال مسك</t>
  </si>
  <si>
    <t>فاتورة جوال هيا</t>
  </si>
  <si>
    <t>ليدي لولو</t>
  </si>
  <si>
    <t>ايفورا</t>
  </si>
  <si>
    <t>سولين</t>
  </si>
  <si>
    <t>لونيرا</t>
  </si>
  <si>
    <t>بيتش موس</t>
  </si>
  <si>
    <t xml:space="preserve">معرض + رمضان </t>
  </si>
  <si>
    <t>تصنيع</t>
  </si>
  <si>
    <t>رويال عود -ج</t>
  </si>
  <si>
    <t>معرض 12 يوم</t>
  </si>
  <si>
    <t>طيب الحزم - قطر</t>
  </si>
  <si>
    <t xml:space="preserve">عيد الأضحى 27 </t>
  </si>
  <si>
    <t>اليوم الوطني 23</t>
  </si>
  <si>
    <t>ايسينس كولكشن</t>
  </si>
  <si>
    <t xml:space="preserve">تصوير </t>
  </si>
  <si>
    <r>
      <t>تكاليف بضاعة الرويال عود 20%</t>
    </r>
    <r>
      <rPr>
        <sz val="11"/>
        <color theme="1"/>
        <rFont val="Arial"/>
        <family val="2"/>
        <scheme val="minor"/>
      </rPr>
      <t>(Parfum)</t>
    </r>
  </si>
  <si>
    <r>
      <t xml:space="preserve">تكاليف بضاعة  ايفورا ( 20%) </t>
    </r>
    <r>
      <rPr>
        <sz val="11"/>
        <color theme="1"/>
        <rFont val="Arial"/>
        <family val="2"/>
        <scheme val="minor"/>
      </rPr>
      <t>( Parfum)</t>
    </r>
  </si>
  <si>
    <r>
      <t>تكاليف بضاعة الرويال جازمين 34%</t>
    </r>
    <r>
      <rPr>
        <sz val="11"/>
        <color theme="1"/>
        <rFont val="Arial"/>
        <family val="2"/>
        <scheme val="minor"/>
      </rPr>
      <t>(Extrait de Pafum)</t>
    </r>
  </si>
  <si>
    <r>
      <t xml:space="preserve">تكاليف بضاعة ليدي لولو30% </t>
    </r>
    <r>
      <rPr>
        <sz val="11"/>
        <color theme="1"/>
        <rFont val="Arial"/>
        <family val="2"/>
        <scheme val="minor"/>
      </rPr>
      <t>(Extrait de Pafum)</t>
    </r>
  </si>
  <si>
    <r>
      <t xml:space="preserve">تكاليف بضاعة عطر سولين (انجل 25%) </t>
    </r>
    <r>
      <rPr>
        <sz val="11"/>
        <color theme="1"/>
        <rFont val="Arial"/>
        <family val="2"/>
        <scheme val="minor"/>
      </rPr>
      <t>(Extrait de Pafum)</t>
    </r>
  </si>
  <si>
    <t>راتب مدير المبيعات</t>
  </si>
  <si>
    <t>لوميسك</t>
  </si>
  <si>
    <t>مصاريف حكومية</t>
  </si>
  <si>
    <r>
      <t xml:space="preserve">تكاليف بضاعة الرويال مسك 34% </t>
    </r>
    <r>
      <rPr>
        <sz val="11"/>
        <color theme="1"/>
        <rFont val="Arial"/>
        <family val="2"/>
        <scheme val="minor"/>
      </rPr>
      <t>(Extrait de Pafum)</t>
    </r>
    <r>
      <rPr>
        <b/>
        <sz val="11"/>
        <color theme="1"/>
        <rFont val="Arial"/>
        <family val="2"/>
        <scheme val="minor"/>
      </rPr>
      <t xml:space="preserve"> </t>
    </r>
  </si>
  <si>
    <t>برنامج الرد الالي</t>
  </si>
  <si>
    <t>تكاليف بضاعة  عطر الشعر-بيتش موس 6%</t>
  </si>
  <si>
    <t>تكاليف بضاعة  عطر الشعر -لونيرا 7%</t>
  </si>
  <si>
    <t>تكاليف بضاعة  عطر الشعر-لوميسك 10 %</t>
  </si>
  <si>
    <t>جمارك</t>
  </si>
  <si>
    <t xml:space="preserve">تكاليف التغليف </t>
  </si>
  <si>
    <t>ورق الزبدة</t>
  </si>
  <si>
    <t>كيس كبير</t>
  </si>
  <si>
    <t>كرت ضمان</t>
  </si>
  <si>
    <t>كرت هدية</t>
  </si>
  <si>
    <t>كرتون العينات</t>
  </si>
  <si>
    <t>الكمية</t>
  </si>
  <si>
    <t>التكلفة الاجماليه</t>
  </si>
  <si>
    <t>سعر الحبه</t>
  </si>
  <si>
    <t>مطبعة-ورق الزبدة</t>
  </si>
  <si>
    <t>مطبعة -ورق الزبدة</t>
  </si>
  <si>
    <t>اشتراك قيود</t>
  </si>
  <si>
    <t>مصاريف معقيب</t>
  </si>
  <si>
    <t>مخلص جمركي</t>
  </si>
  <si>
    <t>تكاليف تدشين العطور-بابيون</t>
  </si>
  <si>
    <t>محمد عبداللطيف</t>
  </si>
  <si>
    <t>تطوير ويب سايت-بلال</t>
  </si>
  <si>
    <t>رايات نجد</t>
  </si>
  <si>
    <t>امي</t>
  </si>
  <si>
    <t>مديونية محمود المحاسب</t>
  </si>
  <si>
    <t>اشتراك برنامج محاسبي</t>
  </si>
  <si>
    <t>سيارات نقل بضاعة</t>
  </si>
  <si>
    <t>الديسبلاي</t>
  </si>
  <si>
    <t>اقماع التستر-الصين</t>
  </si>
  <si>
    <t>طباعة الاقماع</t>
  </si>
  <si>
    <t>فاتورة جوال مسك - شحن</t>
  </si>
  <si>
    <t>ايباد</t>
  </si>
  <si>
    <t>كيس صغير</t>
  </si>
  <si>
    <t>الزيت العطري-جازمين</t>
  </si>
  <si>
    <t xml:space="preserve">الزيوت العطريه-ر مسك </t>
  </si>
  <si>
    <t>الزيت العطري-ليدي لولو</t>
  </si>
  <si>
    <t>الزيت العطري-سولين</t>
  </si>
  <si>
    <t>الزيت العطري - ايفورا</t>
  </si>
  <si>
    <t>حساب تكلفة العينات-عطور شعر</t>
  </si>
  <si>
    <t>حساب تكلفة العينات-بيرفيوم</t>
  </si>
  <si>
    <t>الزيت العطري-بيتش موس</t>
  </si>
  <si>
    <t>الزيت العطري-لونيرا</t>
  </si>
  <si>
    <t>الزيوت العطريه-ر  لوميسك</t>
  </si>
  <si>
    <t>علبة زجاج 2 مل</t>
  </si>
  <si>
    <t>الزيت العطري -رويال عود</t>
  </si>
  <si>
    <t>340 مل</t>
  </si>
  <si>
    <t>300 مل</t>
  </si>
  <si>
    <t xml:space="preserve">200 مل </t>
  </si>
  <si>
    <t xml:space="preserve">250 مل </t>
  </si>
  <si>
    <t>312.5 مل</t>
  </si>
  <si>
    <t>43.75 مل</t>
  </si>
  <si>
    <t>62.5 مل</t>
  </si>
  <si>
    <t>37.5 مل</t>
  </si>
  <si>
    <t xml:space="preserve">تكاليف تدشين </t>
  </si>
  <si>
    <t>المصمم -كارين</t>
  </si>
  <si>
    <t>تطوير الويب سايت-بلال</t>
  </si>
  <si>
    <t>متعب</t>
  </si>
  <si>
    <t xml:space="preserve">ملاك </t>
  </si>
  <si>
    <t>كل شهرين</t>
  </si>
  <si>
    <t>التكاليف للمخزون الكلي</t>
  </si>
  <si>
    <t>التزامات شهريه وسنوية</t>
  </si>
  <si>
    <t>فاتورة جوال هياء</t>
  </si>
  <si>
    <t>راتب هياء</t>
  </si>
  <si>
    <t>فاتورة المصمم كارين</t>
  </si>
  <si>
    <t>صدقة مبيعات شهريه</t>
  </si>
  <si>
    <t>تكاليف تسويق</t>
  </si>
  <si>
    <t>المتبقي</t>
  </si>
  <si>
    <t>مسك اللولو</t>
  </si>
  <si>
    <t>التزامات فورية 1-3شهور</t>
  </si>
  <si>
    <t>الاستحقاق</t>
  </si>
  <si>
    <t xml:space="preserve"> تسحب من البنك شهري</t>
  </si>
  <si>
    <t>فوري</t>
  </si>
  <si>
    <t>فاتورة ستورج ستيشن</t>
  </si>
  <si>
    <t>كل 3أشهر</t>
  </si>
  <si>
    <t xml:space="preserve">التزامات سنوية </t>
  </si>
  <si>
    <t>هيئة الترقيم السعودي</t>
  </si>
  <si>
    <t>تكاليف الموقع الالكتروني</t>
  </si>
  <si>
    <t>مديونيات</t>
  </si>
  <si>
    <t>فاتورة زيت رويال مسك</t>
  </si>
  <si>
    <t>محمود المحاسب</t>
  </si>
  <si>
    <t>أمي</t>
  </si>
  <si>
    <t>خلال 3 أشهر</t>
  </si>
  <si>
    <t>كورنرز</t>
  </si>
  <si>
    <t>المطبعه -اللالوان المتقدمة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</si>
</sst>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ر_._س_._‏_-;\-* #,##0.00\ _ر_._س_._‏_-;_-* &quot;-&quot;??\ _ر_._س_._‏_-;_-@_-"/>
    <numFmt numFmtId="165" formatCode="_-* #,##0\ _ر_._س_._‏_-;\-* #,##0\ _ر_._س_._‏_-;_-* &quot;-&quot;??\ _ر_._س_._‏_-;_-@_-"/>
    <numFmt numFmtId="166" formatCode="_-* #,##0_-;\-* #,##0_-;_-* &quot;-&quot;??_-;_-@_-"/>
  </numFmts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b/>
      <sz val="11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3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2060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  <font>
      <sz val="14"/>
      <color theme="3"/>
      <name val="Arial"/>
      <family val="2"/>
      <scheme val="minor"/>
    </font>
    <font>
      <b/>
      <sz val="12"/>
      <color theme="3"/>
      <name val="Arial"/>
      <family val="2"/>
      <scheme val="minor"/>
    </font>
    <font>
      <b/>
      <sz val="12"/>
      <color theme="3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4" tint="0.39997558519241921"/>
      </bottom>
      <diagonal/>
    </border>
    <border>
      <left/>
      <right style="medium">
        <color indexed="64"/>
      </right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medium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43">
    <xf numFmtId="0" fontId="0" fillId="0" borderId="0" xfId="0"/>
    <xf numFmtId="0" fontId="0" fillId="0" borderId="0" xfId="0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0" fontId="2" fillId="3" borderId="1" xfId="2" applyFill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0" fontId="2" fillId="3" borderId="3" xfId="2" applyFill="1" applyBorder="1" applyAlignment="1">
      <alignment horizontal="center" vertical="center"/>
    </xf>
    <xf numFmtId="0" fontId="2" fillId="3" borderId="4" xfId="2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/>
    </xf>
    <xf numFmtId="43" fontId="4" fillId="3" borderId="7" xfId="1" applyFont="1" applyFill="1" applyBorder="1" applyAlignment="1">
      <alignment horizontal="center" vertical="center"/>
    </xf>
    <xf numFmtId="3" fontId="4" fillId="3" borderId="1" xfId="2" applyNumberFormat="1" applyFont="1" applyFill="1" applyAlignment="1">
      <alignment horizontal="center" vertical="center"/>
    </xf>
    <xf numFmtId="3" fontId="4" fillId="3" borderId="7" xfId="2" applyNumberFormat="1" applyFont="1" applyFill="1" applyBorder="1" applyAlignment="1">
      <alignment horizontal="center" vertical="center"/>
    </xf>
    <xf numFmtId="3" fontId="4" fillId="3" borderId="6" xfId="2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4" borderId="1" xfId="2" applyFill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0" fontId="2" fillId="6" borderId="1" xfId="2" applyFill="1" applyAlignment="1">
      <alignment horizontal="center" vertical="center"/>
    </xf>
    <xf numFmtId="3" fontId="2" fillId="6" borderId="1" xfId="2" applyNumberFormat="1" applyFill="1" applyAlignment="1">
      <alignment horizontal="center" vertical="center"/>
    </xf>
    <xf numFmtId="0" fontId="2" fillId="7" borderId="1" xfId="2" applyFill="1" applyAlignment="1">
      <alignment horizontal="center" vertical="center"/>
    </xf>
    <xf numFmtId="3" fontId="2" fillId="7" borderId="1" xfId="2" applyNumberFormat="1" applyFill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3" fontId="2" fillId="4" borderId="1" xfId="2" applyNumberFormat="1" applyFill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0" fillId="0" borderId="34" xfId="1" applyNumberFormat="1" applyFont="1" applyBorder="1" applyAlignment="1">
      <alignment horizontal="center" vertical="center"/>
    </xf>
    <xf numFmtId="165" fontId="0" fillId="0" borderId="35" xfId="1" applyNumberFormat="1" applyFont="1" applyBorder="1" applyAlignment="1">
      <alignment horizontal="center" vertical="center"/>
    </xf>
    <xf numFmtId="165" fontId="7" fillId="0" borderId="19" xfId="1" applyNumberFormat="1" applyFont="1" applyBorder="1" applyAlignment="1">
      <alignment horizontal="center" vertical="center"/>
    </xf>
    <xf numFmtId="165" fontId="7" fillId="0" borderId="20" xfId="1" applyNumberFormat="1" applyFont="1" applyBorder="1" applyAlignment="1">
      <alignment horizontal="center" vertical="center"/>
    </xf>
    <xf numFmtId="43" fontId="4" fillId="6" borderId="6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5" fontId="0" fillId="2" borderId="8" xfId="1" applyNumberFormat="1" applyFont="1" applyFill="1" applyBorder="1" applyAlignment="1">
      <alignment horizontal="center" vertical="center"/>
    </xf>
    <xf numFmtId="165" fontId="0" fillId="2" borderId="9" xfId="1" applyNumberFormat="1" applyFont="1" applyFill="1" applyBorder="1" applyAlignment="1">
      <alignment horizontal="center" vertical="center"/>
    </xf>
    <xf numFmtId="165" fontId="1" fillId="2" borderId="9" xfId="1" applyNumberFormat="1" applyFont="1" applyFill="1" applyBorder="1" applyAlignment="1">
      <alignment horizontal="center" vertical="center"/>
    </xf>
    <xf numFmtId="0" fontId="2" fillId="10" borderId="4" xfId="2" applyFill="1" applyBorder="1" applyAlignment="1">
      <alignment horizontal="center" vertical="center"/>
    </xf>
    <xf numFmtId="43" fontId="4" fillId="10" borderId="1" xfId="1" applyFont="1" applyFill="1" applyBorder="1" applyAlignment="1">
      <alignment horizontal="center" vertical="center"/>
    </xf>
    <xf numFmtId="43" fontId="4" fillId="10" borderId="7" xfId="1" applyFont="1" applyFill="1" applyBorder="1" applyAlignment="1">
      <alignment horizontal="center" vertical="center"/>
    </xf>
    <xf numFmtId="3" fontId="4" fillId="10" borderId="7" xfId="2" applyNumberFormat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horizontal="center" vertical="center"/>
    </xf>
    <xf numFmtId="43" fontId="7" fillId="3" borderId="1" xfId="1" applyFont="1" applyFill="1" applyBorder="1" applyAlignment="1">
      <alignment horizontal="center" vertical="center"/>
    </xf>
    <xf numFmtId="43" fontId="7" fillId="3" borderId="11" xfId="1" applyFont="1" applyFill="1" applyBorder="1" applyAlignment="1">
      <alignment horizontal="center" vertical="center"/>
    </xf>
    <xf numFmtId="43" fontId="7" fillId="3" borderId="10" xfId="1" applyFont="1" applyFill="1" applyBorder="1" applyAlignment="1">
      <alignment horizontal="center" vertical="center"/>
    </xf>
    <xf numFmtId="43" fontId="7" fillId="3" borderId="37" xfId="1" applyFont="1" applyFill="1" applyBorder="1" applyAlignment="1">
      <alignment horizontal="center" vertical="center"/>
    </xf>
    <xf numFmtId="43" fontId="7" fillId="3" borderId="36" xfId="1" applyFont="1" applyFill="1" applyBorder="1" applyAlignment="1">
      <alignment horizontal="center" vertical="center"/>
    </xf>
    <xf numFmtId="43" fontId="7" fillId="3" borderId="38" xfId="1" applyFont="1" applyFill="1" applyBorder="1" applyAlignment="1">
      <alignment horizontal="center" vertical="center"/>
    </xf>
    <xf numFmtId="43" fontId="7" fillId="10" borderId="12" xfId="1" applyFont="1" applyFill="1" applyBorder="1" applyAlignment="1">
      <alignment horizontal="center" vertical="center"/>
    </xf>
    <xf numFmtId="43" fontId="7" fillId="2" borderId="5" xfId="1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7" fillId="11" borderId="47" xfId="0" applyFont="1" applyFill="1" applyBorder="1" applyAlignment="1">
      <alignment horizontal="center" vertical="center"/>
    </xf>
    <xf numFmtId="0" fontId="7" fillId="11" borderId="43" xfId="0" applyFont="1" applyFill="1" applyBorder="1" applyAlignment="1">
      <alignment horizontal="center" vertical="center"/>
    </xf>
    <xf numFmtId="0" fontId="7" fillId="11" borderId="48" xfId="0" applyFont="1" applyFill="1" applyBorder="1" applyAlignment="1">
      <alignment horizontal="center" vertical="center"/>
    </xf>
    <xf numFmtId="0" fontId="7" fillId="11" borderId="44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17" fontId="0" fillId="11" borderId="14" xfId="0" applyNumberFormat="1" applyFill="1" applyBorder="1" applyAlignment="1">
      <alignment horizontal="center" vertical="center"/>
    </xf>
    <xf numFmtId="0" fontId="7" fillId="11" borderId="51" xfId="0" applyFont="1" applyFill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165" fontId="7" fillId="11" borderId="30" xfId="1" applyNumberFormat="1" applyFont="1" applyFill="1" applyBorder="1" applyAlignment="1">
      <alignment horizontal="center" vertical="center"/>
    </xf>
    <xf numFmtId="165" fontId="7" fillId="4" borderId="46" xfId="1" applyNumberFormat="1" applyFont="1" applyFill="1" applyBorder="1" applyAlignment="1">
      <alignment horizontal="center" vertical="center"/>
    </xf>
    <xf numFmtId="165" fontId="7" fillId="11" borderId="51" xfId="1" applyNumberFormat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14" fontId="0" fillId="11" borderId="14" xfId="0" applyNumberForma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64" fontId="2" fillId="6" borderId="1" xfId="2" applyNumberFormat="1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65" fontId="7" fillId="11" borderId="46" xfId="1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4" fontId="4" fillId="3" borderId="6" xfId="2" applyNumberFormat="1" applyFont="1" applyFill="1" applyBorder="1" applyAlignment="1">
      <alignment horizontal="center" vertical="center"/>
    </xf>
    <xf numFmtId="43" fontId="3" fillId="3" borderId="55" xfId="1" applyFont="1" applyFill="1" applyBorder="1" applyAlignment="1">
      <alignment horizontal="center" vertical="center"/>
    </xf>
    <xf numFmtId="43" fontId="7" fillId="3" borderId="0" xfId="1" applyFont="1" applyFill="1" applyBorder="1" applyAlignment="1">
      <alignment horizontal="center" vertical="center"/>
    </xf>
    <xf numFmtId="166" fontId="4" fillId="3" borderId="6" xfId="1" applyNumberFormat="1" applyFont="1" applyFill="1" applyBorder="1" applyAlignment="1">
      <alignment horizontal="center" vertical="center"/>
    </xf>
    <xf numFmtId="166" fontId="4" fillId="3" borderId="1" xfId="2" applyNumberFormat="1" applyFont="1" applyFill="1" applyAlignment="1">
      <alignment horizontal="center" vertical="center"/>
    </xf>
    <xf numFmtId="166" fontId="4" fillId="3" borderId="7" xfId="2" applyNumberFormat="1" applyFont="1" applyFill="1" applyBorder="1" applyAlignment="1">
      <alignment horizontal="center" vertical="center"/>
    </xf>
    <xf numFmtId="166" fontId="4" fillId="3" borderId="6" xfId="2" applyNumberFormat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7" xfId="1" applyNumberFormat="1" applyFont="1" applyFill="1" applyBorder="1" applyAlignment="1">
      <alignment horizontal="center"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0" fillId="11" borderId="28" xfId="1" applyNumberFormat="1" applyFont="1" applyFill="1" applyBorder="1" applyAlignment="1">
      <alignment horizontal="center" vertical="center"/>
    </xf>
    <xf numFmtId="166" fontId="0" fillId="11" borderId="26" xfId="1" applyNumberFormat="1" applyFont="1" applyFill="1" applyBorder="1" applyAlignment="1">
      <alignment horizontal="center" vertical="center"/>
    </xf>
    <xf numFmtId="166" fontId="0" fillId="11" borderId="26" xfId="1" applyNumberFormat="1" applyFont="1" applyFill="1" applyBorder="1" applyAlignment="1">
      <alignment vertical="center"/>
    </xf>
    <xf numFmtId="166" fontId="0" fillId="11" borderId="49" xfId="1" applyNumberFormat="1" applyFont="1" applyFill="1" applyBorder="1" applyAlignment="1">
      <alignment vertical="center"/>
    </xf>
    <xf numFmtId="166" fontId="4" fillId="11" borderId="28" xfId="1" applyNumberFormat="1" applyFont="1" applyFill="1" applyBorder="1" applyAlignment="1">
      <alignment horizontal="center" vertical="center"/>
    </xf>
    <xf numFmtId="166" fontId="0" fillId="11" borderId="26" xfId="1" applyNumberFormat="1" applyFont="1" applyFill="1" applyBorder="1"/>
    <xf numFmtId="166" fontId="0" fillId="11" borderId="49" xfId="1" applyNumberFormat="1" applyFont="1" applyFill="1" applyBorder="1"/>
    <xf numFmtId="166" fontId="12" fillId="11" borderId="19" xfId="1" applyNumberFormat="1" applyFont="1" applyFill="1" applyBorder="1" applyAlignment="1">
      <alignment horizontal="center" vertical="center"/>
    </xf>
    <xf numFmtId="166" fontId="12" fillId="11" borderId="20" xfId="1" applyNumberFormat="1" applyFont="1" applyFill="1" applyBorder="1" applyAlignment="1">
      <alignment horizontal="center" vertical="center"/>
    </xf>
    <xf numFmtId="166" fontId="12" fillId="11" borderId="21" xfId="1" applyNumberFormat="1" applyFont="1" applyFill="1" applyBorder="1" applyAlignment="1">
      <alignment horizontal="center" vertical="center"/>
    </xf>
    <xf numFmtId="166" fontId="10" fillId="4" borderId="59" xfId="0" applyNumberFormat="1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164" fontId="13" fillId="11" borderId="24" xfId="0" applyNumberFormat="1" applyFont="1" applyFill="1" applyBorder="1" applyAlignment="1">
      <alignment horizontal="center" vertical="center"/>
    </xf>
    <xf numFmtId="166" fontId="4" fillId="10" borderId="7" xfId="1" applyNumberFormat="1" applyFont="1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/>
    </xf>
    <xf numFmtId="43" fontId="4" fillId="5" borderId="1" xfId="1" applyFont="1" applyFill="1" applyBorder="1" applyAlignment="1">
      <alignment horizontal="center" vertical="center"/>
    </xf>
    <xf numFmtId="166" fontId="4" fillId="5" borderId="1" xfId="2" applyNumberFormat="1" applyFont="1" applyFill="1" applyAlignment="1">
      <alignment horizontal="center" vertical="center"/>
    </xf>
    <xf numFmtId="0" fontId="7" fillId="0" borderId="5" xfId="0" applyFont="1" applyBorder="1"/>
    <xf numFmtId="0" fontId="7" fillId="11" borderId="60" xfId="0" applyFont="1" applyFill="1" applyBorder="1" applyAlignment="1">
      <alignment horizontal="center" vertical="center"/>
    </xf>
    <xf numFmtId="0" fontId="7" fillId="11" borderId="61" xfId="0" applyFont="1" applyFill="1" applyBorder="1" applyAlignment="1">
      <alignment horizontal="center" vertical="center"/>
    </xf>
    <xf numFmtId="166" fontId="0" fillId="11" borderId="17" xfId="1" applyNumberFormat="1" applyFont="1" applyFill="1" applyBorder="1" applyAlignment="1">
      <alignment horizontal="center" vertical="center"/>
    </xf>
    <xf numFmtId="166" fontId="0" fillId="11" borderId="22" xfId="1" applyNumberFormat="1" applyFont="1" applyFill="1" applyBorder="1" applyAlignment="1">
      <alignment horizontal="center" vertical="center"/>
    </xf>
    <xf numFmtId="166" fontId="0" fillId="11" borderId="13" xfId="1" applyNumberFormat="1" applyFont="1" applyFill="1" applyBorder="1" applyAlignment="1">
      <alignment horizontal="center" vertical="center"/>
    </xf>
    <xf numFmtId="166" fontId="0" fillId="11" borderId="13" xfId="1" applyNumberFormat="1" applyFont="1" applyFill="1" applyBorder="1"/>
    <xf numFmtId="166" fontId="0" fillId="0" borderId="0" xfId="1" applyNumberFormat="1" applyFont="1"/>
    <xf numFmtId="166" fontId="0" fillId="11" borderId="25" xfId="1" applyNumberFormat="1" applyFont="1" applyFill="1" applyBorder="1" applyAlignment="1">
      <alignment horizontal="center" vertical="center"/>
    </xf>
    <xf numFmtId="166" fontId="0" fillId="10" borderId="20" xfId="1" applyNumberFormat="1" applyFont="1" applyFill="1" applyBorder="1" applyAlignment="1">
      <alignment horizontal="center" vertical="center"/>
    </xf>
    <xf numFmtId="166" fontId="0" fillId="10" borderId="23" xfId="1" applyNumberFormat="1" applyFont="1" applyFill="1" applyBorder="1" applyAlignment="1">
      <alignment horizontal="center" vertical="center"/>
    </xf>
    <xf numFmtId="166" fontId="0" fillId="10" borderId="19" xfId="1" applyNumberFormat="1" applyFont="1" applyFill="1" applyBorder="1" applyAlignment="1">
      <alignment horizontal="center" vertical="center"/>
    </xf>
    <xf numFmtId="166" fontId="0" fillId="10" borderId="20" xfId="1" applyNumberFormat="1" applyFont="1" applyFill="1" applyBorder="1"/>
    <xf numFmtId="166" fontId="0" fillId="10" borderId="21" xfId="1" applyNumberFormat="1" applyFont="1" applyFill="1" applyBorder="1"/>
    <xf numFmtId="0" fontId="7" fillId="13" borderId="4" xfId="2" applyFont="1" applyFill="1" applyBorder="1" applyAlignment="1">
      <alignment horizontal="center" vertical="center"/>
    </xf>
    <xf numFmtId="166" fontId="11" fillId="13" borderId="7" xfId="1" applyNumberFormat="1" applyFont="1" applyFill="1" applyBorder="1" applyAlignment="1">
      <alignment horizontal="center" vertical="center"/>
    </xf>
    <xf numFmtId="3" fontId="11" fillId="13" borderId="7" xfId="2" applyNumberFormat="1" applyFont="1" applyFill="1" applyBorder="1" applyAlignment="1">
      <alignment horizontal="center" vertical="center"/>
    </xf>
    <xf numFmtId="43" fontId="11" fillId="13" borderId="7" xfId="1" applyFont="1" applyFill="1" applyBorder="1" applyAlignment="1">
      <alignment horizontal="center" vertical="center"/>
    </xf>
    <xf numFmtId="166" fontId="11" fillId="13" borderId="7" xfId="2" applyNumberFormat="1" applyFont="1" applyFill="1" applyBorder="1" applyAlignment="1">
      <alignment horizontal="center" vertical="center"/>
    </xf>
    <xf numFmtId="4" fontId="11" fillId="13" borderId="7" xfId="2" applyNumberFormat="1" applyFont="1" applyFill="1" applyBorder="1" applyAlignment="1">
      <alignment horizontal="center" vertical="center"/>
    </xf>
    <xf numFmtId="0" fontId="8" fillId="9" borderId="0" xfId="2" applyFont="1" applyFill="1" applyBorder="1" applyAlignment="1">
      <alignment horizontal="center" vertical="center"/>
    </xf>
    <xf numFmtId="0" fontId="0" fillId="9" borderId="0" xfId="0" applyFill="1"/>
    <xf numFmtId="166" fontId="0" fillId="11" borderId="17" xfId="1" applyNumberFormat="1" applyFont="1" applyFill="1" applyBorder="1"/>
    <xf numFmtId="0" fontId="7" fillId="11" borderId="42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/>
    </xf>
    <xf numFmtId="166" fontId="0" fillId="11" borderId="18" xfId="1" applyNumberFormat="1" applyFont="1" applyFill="1" applyBorder="1"/>
    <xf numFmtId="166" fontId="0" fillId="11" borderId="15" xfId="1" applyNumberFormat="1" applyFont="1" applyFill="1" applyBorder="1"/>
    <xf numFmtId="0" fontId="0" fillId="11" borderId="50" xfId="0" applyFill="1" applyBorder="1" applyAlignment="1">
      <alignment horizontal="center" vertical="center"/>
    </xf>
    <xf numFmtId="166" fontId="0" fillId="11" borderId="48" xfId="1" applyNumberFormat="1" applyFont="1" applyFill="1" applyBorder="1" applyAlignment="1">
      <alignment horizontal="center" vertical="center"/>
    </xf>
    <xf numFmtId="166" fontId="0" fillId="11" borderId="61" xfId="1" applyNumberFormat="1" applyFont="1" applyFill="1" applyBorder="1" applyAlignment="1">
      <alignment horizontal="center" vertical="center"/>
    </xf>
    <xf numFmtId="166" fontId="0" fillId="11" borderId="48" xfId="1" applyNumberFormat="1" applyFont="1" applyFill="1" applyBorder="1"/>
    <xf numFmtId="166" fontId="0" fillId="11" borderId="44" xfId="1" applyNumberFormat="1" applyFont="1" applyFill="1" applyBorder="1"/>
    <xf numFmtId="43" fontId="7" fillId="0" borderId="39" xfId="1" applyFont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43" fontId="0" fillId="14" borderId="13" xfId="1" applyFont="1" applyFill="1" applyBorder="1" applyAlignment="1">
      <alignment horizontal="center" vertical="center"/>
    </xf>
    <xf numFmtId="0" fontId="0" fillId="14" borderId="50" xfId="0" applyFill="1" applyBorder="1" applyAlignment="1">
      <alignment horizontal="center" vertical="center"/>
    </xf>
    <xf numFmtId="43" fontId="0" fillId="14" borderId="48" xfId="1" applyFont="1" applyFill="1" applyBorder="1" applyAlignment="1">
      <alignment horizontal="center" vertical="center"/>
    </xf>
    <xf numFmtId="165" fontId="0" fillId="2" borderId="30" xfId="1" applyNumberFormat="1" applyFont="1" applyFill="1" applyBorder="1" applyAlignment="1">
      <alignment horizontal="center" vertical="center"/>
    </xf>
    <xf numFmtId="43" fontId="4" fillId="3" borderId="0" xfId="1" applyFont="1" applyFill="1" applyBorder="1" applyAlignment="1">
      <alignment horizontal="center" vertical="center"/>
    </xf>
    <xf numFmtId="43" fontId="7" fillId="13" borderId="12" xfId="1" applyFont="1" applyFill="1" applyBorder="1" applyAlignment="1">
      <alignment horizontal="center" vertical="center"/>
    </xf>
    <xf numFmtId="43" fontId="7" fillId="3" borderId="12" xfId="1" applyFont="1" applyFill="1" applyBorder="1" applyAlignment="1">
      <alignment horizontal="center" vertical="center"/>
    </xf>
    <xf numFmtId="165" fontId="0" fillId="2" borderId="51" xfId="1" applyNumberFormat="1" applyFont="1" applyFill="1" applyBorder="1" applyAlignment="1">
      <alignment horizontal="center" vertical="center"/>
    </xf>
    <xf numFmtId="165" fontId="1" fillId="2" borderId="30" xfId="1" applyNumberFormat="1" applyFont="1" applyFill="1" applyBorder="1" applyAlignment="1">
      <alignment horizontal="center" vertical="center"/>
    </xf>
    <xf numFmtId="43" fontId="7" fillId="2" borderId="29" xfId="1" applyFont="1" applyFill="1" applyBorder="1" applyAlignment="1">
      <alignment horizontal="center" vertical="center"/>
    </xf>
    <xf numFmtId="166" fontId="4" fillId="3" borderId="2" xfId="1" applyNumberFormat="1" applyFont="1" applyFill="1" applyBorder="1" applyAlignment="1">
      <alignment horizontal="center" vertical="center"/>
    </xf>
    <xf numFmtId="166" fontId="4" fillId="5" borderId="3" xfId="1" applyNumberFormat="1" applyFont="1" applyFill="1" applyBorder="1" applyAlignment="1">
      <alignment horizontal="center" vertical="center"/>
    </xf>
    <xf numFmtId="43" fontId="7" fillId="5" borderId="10" xfId="1" applyFont="1" applyFill="1" applyBorder="1" applyAlignment="1">
      <alignment horizontal="center" vertical="center"/>
    </xf>
    <xf numFmtId="0" fontId="7" fillId="0" borderId="0" xfId="0" applyFont="1"/>
    <xf numFmtId="0" fontId="7" fillId="3" borderId="0" xfId="0" applyFont="1" applyFill="1"/>
    <xf numFmtId="0" fontId="2" fillId="3" borderId="5" xfId="2" applyFill="1" applyBorder="1" applyAlignment="1">
      <alignment horizontal="center" vertical="center"/>
    </xf>
    <xf numFmtId="0" fontId="2" fillId="5" borderId="32" xfId="2" applyFill="1" applyBorder="1" applyAlignment="1">
      <alignment horizontal="center" vertical="center"/>
    </xf>
    <xf numFmtId="0" fontId="15" fillId="0" borderId="0" xfId="0" applyFont="1"/>
    <xf numFmtId="166" fontId="4" fillId="3" borderId="4" xfId="1" applyNumberFormat="1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166" fontId="11" fillId="5" borderId="1" xfId="1" applyNumberFormat="1" applyFont="1" applyFill="1" applyBorder="1" applyAlignment="1">
      <alignment horizontal="center" vertical="center"/>
    </xf>
    <xf numFmtId="3" fontId="11" fillId="5" borderId="1" xfId="2" applyNumberFormat="1" applyFont="1" applyFill="1" applyAlignment="1">
      <alignment horizontal="center" vertical="center"/>
    </xf>
    <xf numFmtId="43" fontId="11" fillId="5" borderId="1" xfId="1" applyFont="1" applyFill="1" applyBorder="1" applyAlignment="1">
      <alignment horizontal="center" vertical="center"/>
    </xf>
    <xf numFmtId="166" fontId="11" fillId="5" borderId="1" xfId="2" applyNumberFormat="1" applyFont="1" applyFill="1" applyAlignment="1">
      <alignment horizontal="center" vertical="center"/>
    </xf>
    <xf numFmtId="4" fontId="11" fillId="5" borderId="1" xfId="2" applyNumberFormat="1" applyFont="1" applyFill="1" applyAlignment="1">
      <alignment horizontal="center" vertical="center"/>
    </xf>
    <xf numFmtId="0" fontId="8" fillId="0" borderId="10" xfId="2" applyFont="1" applyFill="1" applyBorder="1" applyAlignment="1">
      <alignment vertical="center"/>
    </xf>
    <xf numFmtId="0" fontId="16" fillId="0" borderId="10" xfId="2" applyFont="1" applyFill="1" applyBorder="1" applyAlignment="1">
      <alignment vertical="center"/>
    </xf>
    <xf numFmtId="0" fontId="0" fillId="0" borderId="13" xfId="0" applyBorder="1"/>
    <xf numFmtId="166" fontId="11" fillId="3" borderId="1" xfId="2" applyNumberFormat="1" applyFont="1" applyFill="1" applyAlignment="1">
      <alignment horizontal="center" vertical="center"/>
    </xf>
    <xf numFmtId="166" fontId="11" fillId="3" borderId="7" xfId="2" applyNumberFormat="1" applyFont="1" applyFill="1" applyBorder="1" applyAlignment="1">
      <alignment horizontal="center" vertical="center"/>
    </xf>
    <xf numFmtId="43" fontId="4" fillId="4" borderId="6" xfId="1" applyFont="1" applyFill="1" applyBorder="1" applyAlignment="1">
      <alignment horizontal="center" vertical="center"/>
    </xf>
    <xf numFmtId="43" fontId="4" fillId="3" borderId="64" xfId="1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/>
    </xf>
    <xf numFmtId="3" fontId="17" fillId="6" borderId="1" xfId="2" applyNumberFormat="1" applyFont="1" applyFill="1" applyAlignment="1">
      <alignment horizontal="center" vertical="center"/>
    </xf>
    <xf numFmtId="43" fontId="4" fillId="6" borderId="14" xfId="1" applyFont="1" applyFill="1" applyBorder="1" applyAlignment="1">
      <alignment horizontal="center" vertical="center"/>
    </xf>
    <xf numFmtId="43" fontId="4" fillId="6" borderId="13" xfId="1" applyFont="1" applyFill="1" applyBorder="1" applyAlignment="1">
      <alignment horizontal="center" vertical="center"/>
    </xf>
    <xf numFmtId="43" fontId="4" fillId="6" borderId="15" xfId="1" applyFont="1" applyFill="1" applyBorder="1" applyAlignment="1">
      <alignment horizontal="center" vertical="center"/>
    </xf>
    <xf numFmtId="43" fontId="3" fillId="6" borderId="1" xfId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center" vertical="center"/>
    </xf>
    <xf numFmtId="0" fontId="0" fillId="3" borderId="40" xfId="0" applyFill="1" applyBorder="1" applyAlignment="1">
      <alignment vertical="center"/>
    </xf>
    <xf numFmtId="3" fontId="4" fillId="4" borderId="1" xfId="2" applyNumberFormat="1" applyFont="1" applyFill="1" applyAlignment="1">
      <alignment horizontal="center" vertical="center"/>
    </xf>
    <xf numFmtId="0" fontId="2" fillId="9" borderId="3" xfId="2" applyFill="1" applyBorder="1" applyAlignment="1">
      <alignment horizontal="center" vertical="center"/>
    </xf>
    <xf numFmtId="166" fontId="4" fillId="9" borderId="1" xfId="1" applyNumberFormat="1" applyFont="1" applyFill="1" applyBorder="1" applyAlignment="1">
      <alignment horizontal="center" vertical="center"/>
    </xf>
    <xf numFmtId="3" fontId="4" fillId="9" borderId="1" xfId="2" applyNumberFormat="1" applyFont="1" applyFill="1" applyAlignment="1">
      <alignment horizontal="center" vertical="center"/>
    </xf>
    <xf numFmtId="43" fontId="4" fillId="9" borderId="1" xfId="1" applyFont="1" applyFill="1" applyBorder="1" applyAlignment="1">
      <alignment horizontal="center" vertical="center"/>
    </xf>
    <xf numFmtId="43" fontId="4" fillId="6" borderId="63" xfId="1" applyFont="1" applyFill="1" applyBorder="1" applyAlignment="1">
      <alignment horizontal="center" vertical="center"/>
    </xf>
    <xf numFmtId="166" fontId="4" fillId="9" borderId="1" xfId="2" applyNumberFormat="1" applyFont="1" applyFill="1" applyAlignment="1">
      <alignment horizontal="center" vertical="center"/>
    </xf>
    <xf numFmtId="43" fontId="7" fillId="9" borderId="36" xfId="1" applyFont="1" applyFill="1" applyBorder="1" applyAlignment="1">
      <alignment horizontal="center" vertical="center"/>
    </xf>
    <xf numFmtId="43" fontId="4" fillId="13" borderId="7" xfId="1" applyFont="1" applyFill="1" applyBorder="1" applyAlignment="1">
      <alignment horizontal="center" vertical="center"/>
    </xf>
    <xf numFmtId="0" fontId="2" fillId="13" borderId="1" xfId="2" applyFill="1" applyAlignment="1">
      <alignment horizontal="center" vertical="center"/>
    </xf>
    <xf numFmtId="3" fontId="2" fillId="13" borderId="1" xfId="2" applyNumberFormat="1" applyFill="1" applyAlignment="1">
      <alignment horizontal="center" vertical="center"/>
    </xf>
    <xf numFmtId="166" fontId="4" fillId="3" borderId="55" xfId="1" applyNumberFormat="1" applyFont="1" applyFill="1" applyBorder="1" applyAlignment="1">
      <alignment horizontal="center" vertical="center"/>
    </xf>
    <xf numFmtId="166" fontId="4" fillId="3" borderId="0" xfId="2" applyNumberFormat="1" applyFont="1" applyFill="1" applyBorder="1" applyAlignment="1">
      <alignment horizontal="center" vertical="center"/>
    </xf>
    <xf numFmtId="166" fontId="5" fillId="3" borderId="0" xfId="1" applyNumberFormat="1" applyFont="1" applyFill="1" applyBorder="1" applyAlignment="1">
      <alignment horizontal="center" vertical="center"/>
    </xf>
    <xf numFmtId="166" fontId="4" fillId="3" borderId="0" xfId="1" applyNumberFormat="1" applyFont="1" applyFill="1" applyBorder="1" applyAlignment="1">
      <alignment horizontal="center" vertical="center"/>
    </xf>
    <xf numFmtId="166" fontId="4" fillId="3" borderId="56" xfId="1" applyNumberFormat="1" applyFont="1" applyFill="1" applyBorder="1" applyAlignment="1">
      <alignment horizontal="center" vertical="center"/>
    </xf>
    <xf numFmtId="166" fontId="4" fillId="10" borderId="56" xfId="1" applyNumberFormat="1" applyFont="1" applyFill="1" applyBorder="1" applyAlignment="1">
      <alignment horizontal="center" vertical="center"/>
    </xf>
    <xf numFmtId="165" fontId="0" fillId="2" borderId="54" xfId="1" applyNumberFormat="1" applyFont="1" applyFill="1" applyBorder="1" applyAlignment="1">
      <alignment horizontal="center" vertical="center"/>
    </xf>
    <xf numFmtId="0" fontId="2" fillId="9" borderId="1" xfId="2" applyFill="1" applyAlignment="1">
      <alignment horizontal="center" vertical="center"/>
    </xf>
    <xf numFmtId="3" fontId="2" fillId="9" borderId="1" xfId="2" applyNumberFormat="1" applyFill="1" applyAlignment="1">
      <alignment horizontal="center" vertical="center"/>
    </xf>
    <xf numFmtId="166" fontId="4" fillId="9" borderId="6" xfId="1" applyNumberFormat="1" applyFont="1" applyFill="1" applyBorder="1" applyAlignment="1">
      <alignment horizontal="center" vertical="center"/>
    </xf>
    <xf numFmtId="166" fontId="11" fillId="9" borderId="1" xfId="2" applyNumberFormat="1" applyFont="1" applyFill="1" applyAlignment="1">
      <alignment horizontal="center" vertical="center"/>
    </xf>
    <xf numFmtId="166" fontId="11" fillId="9" borderId="7" xfId="2" applyNumberFormat="1" applyFont="1" applyFill="1" applyBorder="1" applyAlignment="1">
      <alignment horizontal="center" vertical="center"/>
    </xf>
    <xf numFmtId="166" fontId="4" fillId="9" borderId="7" xfId="1" applyNumberFormat="1" applyFont="1" applyFill="1" applyBorder="1" applyAlignment="1">
      <alignment horizontal="center" vertical="center"/>
    </xf>
    <xf numFmtId="166" fontId="4" fillId="9" borderId="6" xfId="2" applyNumberFormat="1" applyFont="1" applyFill="1" applyBorder="1" applyAlignment="1">
      <alignment horizontal="center" vertical="center"/>
    </xf>
    <xf numFmtId="166" fontId="11" fillId="9" borderId="1" xfId="1" applyNumberFormat="1" applyFont="1" applyFill="1" applyBorder="1" applyAlignment="1">
      <alignment horizontal="center" vertical="center"/>
    </xf>
    <xf numFmtId="166" fontId="11" fillId="9" borderId="7" xfId="1" applyNumberFormat="1" applyFont="1" applyFill="1" applyBorder="1" applyAlignment="1">
      <alignment horizontal="center" vertical="center"/>
    </xf>
    <xf numFmtId="164" fontId="0" fillId="2" borderId="9" xfId="1" applyNumberFormat="1" applyFont="1" applyFill="1" applyBorder="1" applyAlignment="1">
      <alignment horizontal="center" vertical="center"/>
    </xf>
    <xf numFmtId="4" fontId="2" fillId="4" borderId="1" xfId="2" applyNumberFormat="1" applyFill="1" applyAlignment="1">
      <alignment horizontal="center" vertical="center"/>
    </xf>
    <xf numFmtId="0" fontId="2" fillId="15" borderId="1" xfId="2" applyFill="1" applyAlignment="1">
      <alignment horizontal="center" vertical="center"/>
    </xf>
    <xf numFmtId="166" fontId="4" fillId="16" borderId="6" xfId="1" applyNumberFormat="1" applyFont="1" applyFill="1" applyBorder="1" applyAlignment="1">
      <alignment horizontal="center" vertical="center"/>
    </xf>
    <xf numFmtId="43" fontId="4" fillId="16" borderId="6" xfId="1" applyFont="1" applyFill="1" applyBorder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43" fontId="0" fillId="12" borderId="17" xfId="1" applyFont="1" applyFill="1" applyBorder="1" applyAlignment="1">
      <alignment horizontal="center" vertical="center"/>
    </xf>
    <xf numFmtId="43" fontId="0" fillId="10" borderId="13" xfId="1" applyFont="1" applyFill="1" applyBorder="1" applyAlignment="1">
      <alignment horizontal="center" vertical="center"/>
    </xf>
    <xf numFmtId="43" fontId="0" fillId="12" borderId="13" xfId="1" applyFont="1" applyFill="1" applyBorder="1" applyAlignment="1">
      <alignment horizontal="center" vertical="center"/>
    </xf>
    <xf numFmtId="43" fontId="7" fillId="10" borderId="20" xfId="1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11" fillId="5" borderId="1" xfId="2" applyNumberFormat="1" applyFont="1" applyFill="1" applyAlignment="1">
      <alignment horizontal="center" vertical="center"/>
    </xf>
    <xf numFmtId="43" fontId="11" fillId="13" borderId="7" xfId="2" applyNumberFormat="1" applyFont="1" applyFill="1" applyBorder="1" applyAlignment="1">
      <alignment horizontal="center" vertical="center"/>
    </xf>
    <xf numFmtId="43" fontId="4" fillId="3" borderId="1" xfId="2" applyNumberFormat="1" applyFont="1" applyFill="1" applyAlignment="1">
      <alignment horizontal="center" vertical="center"/>
    </xf>
    <xf numFmtId="43" fontId="4" fillId="3" borderId="6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0" xfId="0" applyFont="1" applyBorder="1" applyAlignment="1">
      <alignment horizontal="center" vertical="center"/>
    </xf>
    <xf numFmtId="0" fontId="0" fillId="0" borderId="48" xfId="0" applyBorder="1"/>
    <xf numFmtId="0" fontId="0" fillId="0" borderId="15" xfId="0" applyBorder="1"/>
    <xf numFmtId="0" fontId="0" fillId="0" borderId="44" xfId="0" applyBorder="1"/>
    <xf numFmtId="0" fontId="0" fillId="0" borderId="17" xfId="0" applyBorder="1"/>
    <xf numFmtId="0" fontId="0" fillId="0" borderId="18" xfId="0" applyBorder="1"/>
    <xf numFmtId="0" fontId="7" fillId="4" borderId="50" xfId="0" applyFont="1" applyFill="1" applyBorder="1" applyAlignment="1">
      <alignment horizontal="center"/>
    </xf>
    <xf numFmtId="0" fontId="7" fillId="4" borderId="48" xfId="0" applyFont="1" applyFill="1" applyBorder="1" applyAlignment="1">
      <alignment horizontal="center"/>
    </xf>
    <xf numFmtId="0" fontId="7" fillId="4" borderId="44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34" xfId="0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0" fontId="7" fillId="4" borderId="41" xfId="0" applyFont="1" applyFill="1" applyBorder="1" applyAlignment="1">
      <alignment horizontal="center"/>
    </xf>
    <xf numFmtId="0" fontId="0" fillId="3" borderId="13" xfId="0" applyFill="1" applyBorder="1"/>
    <xf numFmtId="0" fontId="6" fillId="3" borderId="47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43" fontId="0" fillId="3" borderId="17" xfId="1" applyFont="1" applyFill="1" applyBorder="1" applyAlignment="1">
      <alignment horizontal="center" vertical="center"/>
    </xf>
    <xf numFmtId="43" fontId="0" fillId="3" borderId="48" xfId="1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6" fillId="3" borderId="13" xfId="1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3" fontId="6" fillId="3" borderId="48" xfId="2" applyNumberFormat="1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3" fontId="6" fillId="3" borderId="13" xfId="2" applyNumberFormat="1" applyFont="1" applyFill="1" applyBorder="1" applyAlignment="1">
      <alignment horizontal="center" vertical="center"/>
    </xf>
    <xf numFmtId="0" fontId="11" fillId="0" borderId="67" xfId="0" applyFont="1" applyBorder="1" applyAlignment="1">
      <alignment vertical="center"/>
    </xf>
    <xf numFmtId="0" fontId="11" fillId="0" borderId="62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7" fillId="11" borderId="52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166" fontId="0" fillId="3" borderId="35" xfId="1" applyNumberFormat="1" applyFont="1" applyFill="1" applyBorder="1" applyAlignment="1">
      <alignment horizontal="center" vertical="center"/>
    </xf>
    <xf numFmtId="166" fontId="0" fillId="3" borderId="57" xfId="1" applyNumberFormat="1" applyFont="1" applyFill="1" applyBorder="1" applyAlignment="1">
      <alignment horizontal="center" vertical="center"/>
    </xf>
    <xf numFmtId="166" fontId="0" fillId="3" borderId="62" xfId="1" applyNumberFormat="1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58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11" borderId="65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0" fillId="11" borderId="42" xfId="0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9" fillId="17" borderId="52" xfId="0" applyFont="1" applyFill="1" applyBorder="1" applyAlignment="1">
      <alignment horizontal="center" vertical="center"/>
    </xf>
    <xf numFmtId="0" fontId="9" fillId="17" borderId="40" xfId="0" applyFont="1" applyFill="1" applyBorder="1" applyAlignment="1">
      <alignment horizontal="center" vertical="center"/>
    </xf>
    <xf numFmtId="0" fontId="9" fillId="17" borderId="53" xfId="0" applyFont="1" applyFill="1" applyBorder="1" applyAlignment="1">
      <alignment horizontal="center" vertical="center"/>
    </xf>
    <xf numFmtId="0" fontId="9" fillId="17" borderId="11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9" fillId="6" borderId="52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/>
    </xf>
    <xf numFmtId="0" fontId="7" fillId="4" borderId="47" xfId="0" applyFont="1" applyFill="1" applyBorder="1" applyAlignment="1">
      <alignment horizontal="center"/>
    </xf>
    <xf numFmtId="0" fontId="7" fillId="4" borderId="43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11" borderId="32" xfId="0" applyFont="1" applyFill="1" applyBorder="1" applyAlignment="1">
      <alignment horizontal="center" vertical="center"/>
    </xf>
    <xf numFmtId="0" fontId="7" fillId="11" borderId="29" xfId="0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14" fillId="0" borderId="0" xfId="2" applyFont="1" applyFill="1" applyBorder="1" applyAlignment="1">
      <alignment horizontal="center" vertical="center"/>
    </xf>
  </cellXfs>
  <cellStyles count="3">
    <cellStyle name="Comma" xfId="1" builtinId="3"/>
    <cellStyle name="عادي" xfId="0" builtinId="0"/>
    <cellStyle name="عنوان 3" xfId="2" builtinId="18"/>
  </cellStyles>
  <dxfs count="0"/>
  <tableStyles count="0" defaultTableStyle="TableStyleMedium2" defaultPivotStyle="PivotStyleLight16"/>
  <colors>
    <mruColors>
      <color rgb="FFCC99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DF6D-C9B8-4705-B44E-56863837BC9C}">
  <dimension ref="A1:L160"/>
  <sheetViews>
    <sheetView rightToLeft="1" tabSelected="1" topLeftCell="A139" workbookViewId="0">
      <selection activeCell="B26" sqref="B26"/>
    </sheetView>
  </sheetViews>
  <sheetFormatPr defaultRowHeight="14" x14ac:dyDescent="0.3"/>
  <cols>
    <col min="1" max="1" width="17.83203125" bestFit="1" customWidth="1"/>
    <col min="2" max="2" width="9.1640625" customWidth="1"/>
    <col min="3" max="3" width="10.83203125" customWidth="1"/>
    <col min="4" max="4" width="10.4140625" customWidth="1"/>
    <col min="5" max="5" width="13.9140625" customWidth="1"/>
    <col min="6" max="6" width="4.6640625" customWidth="1"/>
    <col min="7" max="7" width="6.6640625" customWidth="1"/>
    <col min="8" max="8" width="21" customWidth="1"/>
    <col min="9" max="9" width="10.4140625" customWidth="1"/>
    <col min="11" max="11" width="10.83203125" customWidth="1"/>
    <col min="12" max="12" width="17.33203125" customWidth="1"/>
    <col min="14" max="14" width="8.9140625" customWidth="1"/>
  </cols>
  <sheetData>
    <row r="1" spans="1:12" x14ac:dyDescent="0.3">
      <c r="C1" s="308" t="s">
        <v>194</v>
      </c>
      <c r="D1" s="309"/>
      <c r="E1" s="309"/>
      <c r="F1" s="309"/>
      <c r="G1" s="309"/>
      <c r="H1" s="309"/>
      <c r="I1" s="309"/>
      <c r="J1" s="310"/>
    </row>
    <row r="2" spans="1:12" ht="14.5" thickBot="1" x14ac:dyDescent="0.35">
      <c r="C2" s="311"/>
      <c r="D2" s="312"/>
      <c r="E2" s="312"/>
      <c r="F2" s="312"/>
      <c r="G2" s="312"/>
      <c r="H2" s="312"/>
      <c r="I2" s="312"/>
      <c r="J2" s="313"/>
    </row>
    <row r="3" spans="1:12" ht="14.5" thickBot="1" x14ac:dyDescent="0.35"/>
    <row r="4" spans="1:12" x14ac:dyDescent="0.3">
      <c r="A4" s="299" t="s">
        <v>134</v>
      </c>
      <c r="B4" s="300"/>
      <c r="C4" s="300"/>
      <c r="D4" s="300"/>
      <c r="E4" s="301"/>
      <c r="H4" s="283" t="s">
        <v>126</v>
      </c>
      <c r="I4" s="284"/>
      <c r="J4" s="284"/>
      <c r="K4" s="284"/>
      <c r="L4" s="285"/>
    </row>
    <row r="5" spans="1:12" ht="14.5" thickBot="1" x14ac:dyDescent="0.35">
      <c r="A5" s="302"/>
      <c r="B5" s="303"/>
      <c r="C5" s="303"/>
      <c r="D5" s="303"/>
      <c r="E5" s="304"/>
      <c r="H5" s="286"/>
      <c r="I5" s="287"/>
      <c r="J5" s="287"/>
      <c r="K5" s="287"/>
      <c r="L5" s="288"/>
    </row>
    <row r="6" spans="1:12" ht="14.5" thickBot="1" x14ac:dyDescent="0.35">
      <c r="A6" s="222" t="s">
        <v>35</v>
      </c>
      <c r="B6" s="223" t="s">
        <v>36</v>
      </c>
      <c r="C6" s="223" t="s">
        <v>37</v>
      </c>
      <c r="D6" s="223" t="s">
        <v>38</v>
      </c>
      <c r="E6" s="47" t="s">
        <v>58</v>
      </c>
      <c r="H6" s="222" t="s">
        <v>35</v>
      </c>
      <c r="I6" s="223" t="s">
        <v>36</v>
      </c>
      <c r="J6" s="223" t="s">
        <v>37</v>
      </c>
      <c r="K6" s="223" t="s">
        <v>38</v>
      </c>
      <c r="L6" s="47" t="s">
        <v>58</v>
      </c>
    </row>
    <row r="7" spans="1:12" x14ac:dyDescent="0.3">
      <c r="A7" s="50" t="s">
        <v>57</v>
      </c>
      <c r="B7" s="48">
        <v>51</v>
      </c>
      <c r="C7" s="48">
        <v>1433.66</v>
      </c>
      <c r="D7" s="48">
        <f>C7*B7</f>
        <v>73116.66</v>
      </c>
      <c r="E7" s="51">
        <f>D7/B12</f>
        <v>24.372220000000002</v>
      </c>
      <c r="H7" s="69" t="s">
        <v>68</v>
      </c>
      <c r="I7" s="70">
        <v>34</v>
      </c>
      <c r="J7" s="70">
        <v>945.85</v>
      </c>
      <c r="K7" s="70">
        <f>J7*I7</f>
        <v>32158.9</v>
      </c>
      <c r="L7" s="71">
        <f>K7/I9</f>
        <v>16.079450000000001</v>
      </c>
    </row>
    <row r="8" spans="1:12" x14ac:dyDescent="0.3">
      <c r="A8" s="52" t="s">
        <v>39</v>
      </c>
      <c r="B8" s="49">
        <v>3000</v>
      </c>
      <c r="C8" s="76">
        <v>8</v>
      </c>
      <c r="D8" s="49">
        <f>C8*B8</f>
        <v>24000</v>
      </c>
      <c r="E8" s="53">
        <v>8</v>
      </c>
      <c r="H8" s="69" t="s">
        <v>71</v>
      </c>
      <c r="I8" s="70">
        <v>1</v>
      </c>
      <c r="J8" s="70"/>
      <c r="K8" s="70">
        <v>348.8</v>
      </c>
      <c r="L8" s="71">
        <f>K8/I10</f>
        <v>0.1744</v>
      </c>
    </row>
    <row r="9" spans="1:12" x14ac:dyDescent="0.3">
      <c r="A9" s="52" t="s">
        <v>72</v>
      </c>
      <c r="B9" s="49">
        <v>3000</v>
      </c>
      <c r="C9" s="49">
        <v>0.25</v>
      </c>
      <c r="D9" s="49">
        <f>C9*B9</f>
        <v>750</v>
      </c>
      <c r="E9" s="53">
        <v>0.25</v>
      </c>
      <c r="H9" s="52" t="s">
        <v>39</v>
      </c>
      <c r="I9" s="49">
        <v>2000</v>
      </c>
      <c r="J9" s="76">
        <v>8</v>
      </c>
      <c r="K9" s="49">
        <f t="shared" ref="K9:K19" si="0">J9*I9</f>
        <v>16000</v>
      </c>
      <c r="L9" s="53">
        <f>J9</f>
        <v>8</v>
      </c>
    </row>
    <row r="10" spans="1:12" x14ac:dyDescent="0.3">
      <c r="A10" s="52" t="s">
        <v>40</v>
      </c>
      <c r="B10" s="49">
        <v>3000</v>
      </c>
      <c r="C10" s="49">
        <v>9</v>
      </c>
      <c r="D10" s="49">
        <f>C10*B10</f>
        <v>27000</v>
      </c>
      <c r="E10" s="53">
        <v>9</v>
      </c>
      <c r="H10" s="52" t="s">
        <v>72</v>
      </c>
      <c r="I10" s="49">
        <v>2000</v>
      </c>
      <c r="J10" s="49">
        <v>0.25</v>
      </c>
      <c r="K10" s="49">
        <f t="shared" si="0"/>
        <v>500</v>
      </c>
      <c r="L10" s="53">
        <f>J10</f>
        <v>0.25</v>
      </c>
    </row>
    <row r="11" spans="1:12" x14ac:dyDescent="0.3">
      <c r="A11" s="52" t="s">
        <v>63</v>
      </c>
      <c r="B11" s="49">
        <v>3000</v>
      </c>
      <c r="C11" s="49">
        <v>1.37</v>
      </c>
      <c r="D11" s="49">
        <f>C11*B11</f>
        <v>4110</v>
      </c>
      <c r="E11" s="53">
        <v>1.37</v>
      </c>
      <c r="H11" s="52" t="s">
        <v>40</v>
      </c>
      <c r="I11" s="49">
        <v>2000</v>
      </c>
      <c r="J11" s="49">
        <v>9</v>
      </c>
      <c r="K11" s="49">
        <f>J11*I11</f>
        <v>18000</v>
      </c>
      <c r="L11" s="53">
        <f>J11</f>
        <v>9</v>
      </c>
    </row>
    <row r="12" spans="1:12" x14ac:dyDescent="0.3">
      <c r="A12" s="52" t="s">
        <v>69</v>
      </c>
      <c r="B12" s="49">
        <v>3000</v>
      </c>
      <c r="C12" s="49">
        <v>4.87</v>
      </c>
      <c r="D12" s="49">
        <f t="shared" ref="D12:D14" si="1">C12*B12</f>
        <v>14610</v>
      </c>
      <c r="E12" s="53">
        <v>4.87</v>
      </c>
      <c r="H12" s="52" t="s">
        <v>69</v>
      </c>
      <c r="I12" s="49">
        <v>2000</v>
      </c>
      <c r="J12" s="49">
        <v>4.87</v>
      </c>
      <c r="K12" s="49">
        <f t="shared" si="0"/>
        <v>9740</v>
      </c>
      <c r="L12" s="53">
        <f>J12</f>
        <v>4.87</v>
      </c>
    </row>
    <row r="13" spans="1:12" x14ac:dyDescent="0.3">
      <c r="A13" s="52" t="s">
        <v>85</v>
      </c>
      <c r="B13" s="49">
        <v>3000</v>
      </c>
      <c r="C13" s="49">
        <v>0.43</v>
      </c>
      <c r="D13" s="49">
        <f t="shared" si="1"/>
        <v>1290</v>
      </c>
      <c r="E13" s="53">
        <v>0.43</v>
      </c>
      <c r="H13" s="52" t="s">
        <v>85</v>
      </c>
      <c r="I13" s="49">
        <v>2000</v>
      </c>
      <c r="J13" s="49">
        <v>0.43</v>
      </c>
      <c r="K13" s="49">
        <f t="shared" si="0"/>
        <v>860</v>
      </c>
      <c r="L13" s="53">
        <f>J13</f>
        <v>0.43</v>
      </c>
    </row>
    <row r="14" spans="1:12" x14ac:dyDescent="0.3">
      <c r="A14" s="52" t="s">
        <v>86</v>
      </c>
      <c r="B14" s="49">
        <v>3000</v>
      </c>
      <c r="C14" s="49">
        <v>1.097</v>
      </c>
      <c r="D14" s="49">
        <f t="shared" si="1"/>
        <v>3291</v>
      </c>
      <c r="E14" s="53">
        <v>1.097</v>
      </c>
      <c r="H14" s="52" t="s">
        <v>87</v>
      </c>
      <c r="I14" s="49">
        <v>2000</v>
      </c>
      <c r="J14" s="49">
        <v>1.097</v>
      </c>
      <c r="K14" s="49">
        <f t="shared" si="0"/>
        <v>2194</v>
      </c>
      <c r="L14" s="53">
        <v>1.097</v>
      </c>
    </row>
    <row r="15" spans="1:12" x14ac:dyDescent="0.3">
      <c r="A15" s="52" t="s">
        <v>77</v>
      </c>
      <c r="B15" s="49">
        <v>3000</v>
      </c>
      <c r="C15" s="49">
        <v>2</v>
      </c>
      <c r="D15" s="49">
        <f>B15*C15</f>
        <v>6000</v>
      </c>
      <c r="E15" s="53">
        <v>2</v>
      </c>
      <c r="H15" s="52" t="s">
        <v>63</v>
      </c>
      <c r="I15" s="49">
        <v>2000</v>
      </c>
      <c r="J15" s="49">
        <v>1.37</v>
      </c>
      <c r="K15" s="49">
        <f>J15*I15</f>
        <v>2740</v>
      </c>
      <c r="L15" s="53">
        <v>1.37</v>
      </c>
    </row>
    <row r="16" spans="1:12" x14ac:dyDescent="0.3">
      <c r="A16" s="52" t="s">
        <v>88</v>
      </c>
      <c r="B16" s="49">
        <v>1500</v>
      </c>
      <c r="C16" s="49">
        <v>0.28999999999999998</v>
      </c>
      <c r="D16" s="49">
        <f>C16*B16</f>
        <v>434.99999999999994</v>
      </c>
      <c r="E16" s="53">
        <v>0.28999999999999998</v>
      </c>
      <c r="H16" s="52" t="s">
        <v>78</v>
      </c>
      <c r="I16" s="49">
        <v>2000</v>
      </c>
      <c r="J16" s="49">
        <v>2</v>
      </c>
      <c r="K16" s="49">
        <f t="shared" si="0"/>
        <v>4000</v>
      </c>
      <c r="L16" s="53">
        <v>2</v>
      </c>
    </row>
    <row r="17" spans="1:12" x14ac:dyDescent="0.3">
      <c r="A17" s="52" t="s">
        <v>89</v>
      </c>
      <c r="B17" s="49">
        <v>1500</v>
      </c>
      <c r="C17" s="49">
        <v>2</v>
      </c>
      <c r="D17" s="49">
        <f>C17*B17</f>
        <v>3000</v>
      </c>
      <c r="E17" s="53">
        <f>C17</f>
        <v>2</v>
      </c>
      <c r="H17" s="52" t="s">
        <v>91</v>
      </c>
      <c r="I17" s="49">
        <v>1500</v>
      </c>
      <c r="J17" s="49">
        <v>0.28999999999999998</v>
      </c>
      <c r="K17" s="49">
        <f t="shared" si="0"/>
        <v>434.99999999999994</v>
      </c>
      <c r="L17" s="53">
        <v>0.28999999999999998</v>
      </c>
    </row>
    <row r="18" spans="1:12" x14ac:dyDescent="0.3">
      <c r="A18" s="52" t="s">
        <v>145</v>
      </c>
      <c r="B18" s="49">
        <v>1500</v>
      </c>
      <c r="C18" s="49"/>
      <c r="D18" s="49"/>
      <c r="E18" s="53"/>
      <c r="H18" s="52" t="s">
        <v>145</v>
      </c>
      <c r="I18" s="49">
        <v>1500</v>
      </c>
      <c r="J18" s="49"/>
      <c r="K18" s="49"/>
      <c r="L18" s="53"/>
    </row>
    <row r="19" spans="1:12" ht="14.5" thickBot="1" x14ac:dyDescent="0.35">
      <c r="A19" s="52" t="s">
        <v>90</v>
      </c>
      <c r="B19" s="49"/>
      <c r="C19" s="49"/>
      <c r="D19" s="49"/>
      <c r="E19" s="53"/>
      <c r="H19" s="52" t="s">
        <v>89</v>
      </c>
      <c r="I19" s="49">
        <v>1500</v>
      </c>
      <c r="J19" s="76">
        <v>2</v>
      </c>
      <c r="K19" s="49">
        <f t="shared" si="0"/>
        <v>3000</v>
      </c>
      <c r="L19" s="53">
        <f>J19</f>
        <v>2</v>
      </c>
    </row>
    <row r="20" spans="1:12" ht="14.5" thickBot="1" x14ac:dyDescent="0.35">
      <c r="A20" s="294" t="s">
        <v>44</v>
      </c>
      <c r="B20" s="295"/>
      <c r="C20" s="223">
        <f>SUM(C7:C17)</f>
        <v>1462.9669999999999</v>
      </c>
      <c r="D20" s="223">
        <f>SUM(D7:D19)</f>
        <v>157602.66</v>
      </c>
      <c r="E20" s="47">
        <f>SUM(E7:E19)</f>
        <v>53.679219999999994</v>
      </c>
      <c r="H20" s="72" t="s">
        <v>81</v>
      </c>
      <c r="I20" s="73"/>
      <c r="J20" s="73"/>
      <c r="K20" s="73"/>
      <c r="L20" s="74"/>
    </row>
    <row r="21" spans="1:12" x14ac:dyDescent="0.3">
      <c r="A21" s="296" t="s">
        <v>59</v>
      </c>
      <c r="B21" s="297"/>
      <c r="C21" s="297"/>
      <c r="D21" s="298"/>
      <c r="E21" s="65">
        <v>309</v>
      </c>
      <c r="H21" s="72" t="s">
        <v>42</v>
      </c>
      <c r="I21" s="73"/>
      <c r="J21" s="73"/>
      <c r="K21" s="70">
        <v>271.10000000000002</v>
      </c>
      <c r="L21" s="74">
        <f>K21/I12</f>
        <v>0.13555</v>
      </c>
    </row>
    <row r="22" spans="1:12" ht="14.5" thickBot="1" x14ac:dyDescent="0.35">
      <c r="A22" s="277" t="s">
        <v>60</v>
      </c>
      <c r="B22" s="278"/>
      <c r="C22" s="278"/>
      <c r="D22" s="279"/>
      <c r="E22" s="63">
        <f>E21-E20</f>
        <v>255.32078000000001</v>
      </c>
      <c r="H22" s="72" t="s">
        <v>43</v>
      </c>
      <c r="I22" s="73"/>
      <c r="J22" s="73"/>
      <c r="K22" s="70">
        <v>472</v>
      </c>
      <c r="L22" s="74">
        <f>K22/I12</f>
        <v>0.23599999999999999</v>
      </c>
    </row>
    <row r="23" spans="1:12" ht="14.5" thickBot="1" x14ac:dyDescent="0.35">
      <c r="A23" s="277" t="s">
        <v>61</v>
      </c>
      <c r="B23" s="278"/>
      <c r="C23" s="278"/>
      <c r="D23" s="279"/>
      <c r="E23" s="63">
        <f>E21*B8</f>
        <v>927000</v>
      </c>
      <c r="H23" s="294" t="s">
        <v>44</v>
      </c>
      <c r="I23" s="295"/>
      <c r="J23" s="223">
        <f>SUM(J7:J22)</f>
        <v>975.15699999999993</v>
      </c>
      <c r="K23" s="223">
        <f>SUM(K7:K22)</f>
        <v>90719.8</v>
      </c>
      <c r="L23" s="47">
        <f>SUM(L7:L22)</f>
        <v>45.932399999999994</v>
      </c>
    </row>
    <row r="24" spans="1:12" ht="14.5" thickBot="1" x14ac:dyDescent="0.35">
      <c r="A24" s="305" t="s">
        <v>62</v>
      </c>
      <c r="B24" s="306"/>
      <c r="C24" s="306"/>
      <c r="D24" s="307"/>
      <c r="E24" s="64">
        <f>E23-D20</f>
        <v>769397.34</v>
      </c>
      <c r="H24" s="296" t="s">
        <v>59</v>
      </c>
      <c r="I24" s="297"/>
      <c r="J24" s="297"/>
      <c r="K24" s="298"/>
      <c r="L24" s="61">
        <v>429</v>
      </c>
    </row>
    <row r="25" spans="1:12" x14ac:dyDescent="0.3">
      <c r="H25" s="277" t="s">
        <v>60</v>
      </c>
      <c r="I25" s="278"/>
      <c r="J25" s="278"/>
      <c r="K25" s="279"/>
      <c r="L25" s="62">
        <f>L24-L23</f>
        <v>383.06760000000003</v>
      </c>
    </row>
    <row r="26" spans="1:12" x14ac:dyDescent="0.3">
      <c r="H26" s="277" t="s">
        <v>61</v>
      </c>
      <c r="I26" s="278"/>
      <c r="J26" s="278"/>
      <c r="K26" s="279"/>
      <c r="L26" s="63">
        <f>L24*I12</f>
        <v>858000</v>
      </c>
    </row>
    <row r="27" spans="1:12" ht="14.5" thickBot="1" x14ac:dyDescent="0.35">
      <c r="H27" s="305" t="s">
        <v>62</v>
      </c>
      <c r="I27" s="306"/>
      <c r="J27" s="306"/>
      <c r="K27" s="307"/>
      <c r="L27" s="64">
        <f>L26-K23</f>
        <v>767280.2</v>
      </c>
    </row>
    <row r="28" spans="1:12" ht="14.5" thickBot="1" x14ac:dyDescent="0.35"/>
    <row r="29" spans="1:12" x14ac:dyDescent="0.3">
      <c r="A29" s="283" t="s">
        <v>129</v>
      </c>
      <c r="B29" s="284"/>
      <c r="C29" s="284"/>
      <c r="D29" s="284"/>
      <c r="E29" s="285"/>
      <c r="H29" s="283" t="s">
        <v>128</v>
      </c>
      <c r="I29" s="284"/>
      <c r="J29" s="284"/>
      <c r="K29" s="284"/>
      <c r="L29" s="285"/>
    </row>
    <row r="30" spans="1:12" ht="14.5" thickBot="1" x14ac:dyDescent="0.35">
      <c r="A30" s="286"/>
      <c r="B30" s="287"/>
      <c r="C30" s="287"/>
      <c r="D30" s="287"/>
      <c r="E30" s="288"/>
      <c r="H30" s="286"/>
      <c r="I30" s="287"/>
      <c r="J30" s="287"/>
      <c r="K30" s="287"/>
      <c r="L30" s="288"/>
    </row>
    <row r="31" spans="1:12" ht="14.5" thickBot="1" x14ac:dyDescent="0.35">
      <c r="A31" s="222" t="s">
        <v>35</v>
      </c>
      <c r="B31" s="223" t="s">
        <v>36</v>
      </c>
      <c r="C31" s="223" t="s">
        <v>37</v>
      </c>
      <c r="D31" s="223" t="s">
        <v>38</v>
      </c>
      <c r="E31" s="47" t="s">
        <v>58</v>
      </c>
      <c r="H31" s="222" t="s">
        <v>35</v>
      </c>
      <c r="I31" s="223" t="s">
        <v>36</v>
      </c>
      <c r="J31" s="223" t="s">
        <v>37</v>
      </c>
      <c r="K31" s="223" t="s">
        <v>38</v>
      </c>
      <c r="L31" s="47" t="s">
        <v>58</v>
      </c>
    </row>
    <row r="32" spans="1:12" x14ac:dyDescent="0.3">
      <c r="A32" s="69" t="s">
        <v>70</v>
      </c>
      <c r="B32" s="70">
        <v>34</v>
      </c>
      <c r="C32" s="70">
        <v>589.51</v>
      </c>
      <c r="D32" s="70">
        <f>C32*B32</f>
        <v>20043.34</v>
      </c>
      <c r="E32" s="71">
        <f>D32/B37</f>
        <v>10.02167</v>
      </c>
      <c r="H32" s="69" t="s">
        <v>76</v>
      </c>
      <c r="I32" s="70">
        <v>34</v>
      </c>
      <c r="J32" s="70">
        <v>796.27</v>
      </c>
      <c r="K32" s="70">
        <f>J32*I32</f>
        <v>27073.18</v>
      </c>
      <c r="L32" s="71">
        <f>K32/I34</f>
        <v>13.53659</v>
      </c>
    </row>
    <row r="33" spans="1:12" x14ac:dyDescent="0.3">
      <c r="A33" s="69" t="s">
        <v>71</v>
      </c>
      <c r="B33" s="70">
        <v>1</v>
      </c>
      <c r="C33" s="70"/>
      <c r="D33" s="70">
        <v>348.8</v>
      </c>
      <c r="E33" s="71">
        <f>D33/B37</f>
        <v>0.1744</v>
      </c>
      <c r="H33" s="69" t="s">
        <v>71</v>
      </c>
      <c r="I33" s="70">
        <v>1</v>
      </c>
      <c r="J33" s="70"/>
      <c r="K33" s="70">
        <v>348.8</v>
      </c>
      <c r="L33" s="71">
        <f>K33/I35</f>
        <v>0.1744</v>
      </c>
    </row>
    <row r="34" spans="1:12" x14ac:dyDescent="0.3">
      <c r="A34" s="52" t="s">
        <v>39</v>
      </c>
      <c r="B34" s="49">
        <v>2000</v>
      </c>
      <c r="C34" s="76">
        <v>8</v>
      </c>
      <c r="D34" s="49">
        <f t="shared" ref="D34" si="2">C34*B34</f>
        <v>16000</v>
      </c>
      <c r="E34" s="76">
        <v>8</v>
      </c>
      <c r="H34" s="52" t="s">
        <v>39</v>
      </c>
      <c r="I34" s="49">
        <v>2000</v>
      </c>
      <c r="J34" s="76">
        <v>8</v>
      </c>
      <c r="K34" s="49">
        <f t="shared" ref="K34" si="3">J34*I34</f>
        <v>16000</v>
      </c>
      <c r="L34" s="76">
        <v>8</v>
      </c>
    </row>
    <row r="35" spans="1:12" x14ac:dyDescent="0.3">
      <c r="A35" s="52" t="s">
        <v>72</v>
      </c>
      <c r="B35" s="49">
        <v>2000</v>
      </c>
      <c r="C35" s="49">
        <v>0.25</v>
      </c>
      <c r="D35" s="49">
        <f>C35*B35</f>
        <v>500</v>
      </c>
      <c r="E35" s="49">
        <v>0.25</v>
      </c>
      <c r="H35" s="52" t="s">
        <v>72</v>
      </c>
      <c r="I35" s="49">
        <v>2000</v>
      </c>
      <c r="J35" s="49">
        <v>0.25</v>
      </c>
      <c r="K35" s="49">
        <f>J35*I35</f>
        <v>500</v>
      </c>
      <c r="L35" s="49">
        <v>0.25</v>
      </c>
    </row>
    <row r="36" spans="1:12" x14ac:dyDescent="0.3">
      <c r="A36" s="52" t="s">
        <v>40</v>
      </c>
      <c r="B36" s="49">
        <v>2000</v>
      </c>
      <c r="C36" s="49">
        <v>9</v>
      </c>
      <c r="D36" s="49">
        <f t="shared" ref="D36:D41" si="4">C36*B36</f>
        <v>18000</v>
      </c>
      <c r="E36" s="49">
        <v>9</v>
      </c>
      <c r="H36" s="52" t="s">
        <v>40</v>
      </c>
      <c r="I36" s="49">
        <v>2000</v>
      </c>
      <c r="J36" s="49">
        <v>9</v>
      </c>
      <c r="K36" s="49">
        <f t="shared" ref="K36:K41" si="5">J36*I36</f>
        <v>18000</v>
      </c>
      <c r="L36" s="49">
        <v>9</v>
      </c>
    </row>
    <row r="37" spans="1:12" x14ac:dyDescent="0.3">
      <c r="A37" s="52" t="s">
        <v>69</v>
      </c>
      <c r="B37" s="49">
        <v>2000</v>
      </c>
      <c r="C37" s="49">
        <v>4.87</v>
      </c>
      <c r="D37" s="49">
        <f t="shared" si="4"/>
        <v>9740</v>
      </c>
      <c r="E37" s="49">
        <v>4.87</v>
      </c>
      <c r="H37" s="52" t="s">
        <v>69</v>
      </c>
      <c r="I37" s="49">
        <v>2000</v>
      </c>
      <c r="J37" s="49">
        <v>4.87</v>
      </c>
      <c r="K37" s="49">
        <f t="shared" si="5"/>
        <v>9740</v>
      </c>
      <c r="L37" s="49">
        <v>4.87</v>
      </c>
    </row>
    <row r="38" spans="1:12" x14ac:dyDescent="0.3">
      <c r="A38" s="52" t="s">
        <v>63</v>
      </c>
      <c r="B38" s="49">
        <v>2000</v>
      </c>
      <c r="C38" s="49">
        <v>1.37</v>
      </c>
      <c r="D38" s="49">
        <f t="shared" si="4"/>
        <v>2740</v>
      </c>
      <c r="E38" s="49">
        <v>1.37</v>
      </c>
      <c r="H38" s="52" t="s">
        <v>63</v>
      </c>
      <c r="I38" s="49">
        <v>2000</v>
      </c>
      <c r="J38" s="49">
        <v>1.37</v>
      </c>
      <c r="K38" s="49">
        <f t="shared" si="5"/>
        <v>2740</v>
      </c>
      <c r="L38" s="49">
        <v>1.37</v>
      </c>
    </row>
    <row r="39" spans="1:12" x14ac:dyDescent="0.3">
      <c r="A39" s="52" t="s">
        <v>77</v>
      </c>
      <c r="B39" s="49">
        <v>2000</v>
      </c>
      <c r="C39" s="49">
        <v>2</v>
      </c>
      <c r="D39" s="49">
        <f t="shared" si="4"/>
        <v>4000</v>
      </c>
      <c r="E39" s="49">
        <v>2</v>
      </c>
      <c r="H39" s="52" t="s">
        <v>77</v>
      </c>
      <c r="I39" s="49">
        <v>2000</v>
      </c>
      <c r="J39" s="49">
        <v>2</v>
      </c>
      <c r="K39" s="49">
        <f t="shared" si="5"/>
        <v>4000</v>
      </c>
      <c r="L39" s="49">
        <v>2</v>
      </c>
    </row>
    <row r="40" spans="1:12" x14ac:dyDescent="0.3">
      <c r="A40" s="52" t="s">
        <v>85</v>
      </c>
      <c r="B40" s="49">
        <v>2000</v>
      </c>
      <c r="C40" s="49">
        <v>0.43</v>
      </c>
      <c r="D40" s="49">
        <f t="shared" si="4"/>
        <v>860</v>
      </c>
      <c r="E40" s="49">
        <v>0.43</v>
      </c>
      <c r="H40" s="52" t="s">
        <v>85</v>
      </c>
      <c r="I40" s="49">
        <v>2000</v>
      </c>
      <c r="J40" s="49">
        <v>0.43</v>
      </c>
      <c r="K40" s="49">
        <f t="shared" si="5"/>
        <v>860</v>
      </c>
      <c r="L40" s="49">
        <v>0.43</v>
      </c>
    </row>
    <row r="41" spans="1:12" x14ac:dyDescent="0.3">
      <c r="A41" s="52" t="s">
        <v>87</v>
      </c>
      <c r="B41" s="49">
        <v>2000</v>
      </c>
      <c r="C41" s="49">
        <v>1.097</v>
      </c>
      <c r="D41" s="49">
        <f t="shared" si="4"/>
        <v>2194</v>
      </c>
      <c r="E41" s="49">
        <v>1.097</v>
      </c>
      <c r="H41" s="52" t="s">
        <v>87</v>
      </c>
      <c r="I41" s="49">
        <v>2000</v>
      </c>
      <c r="J41" s="49">
        <v>1.097</v>
      </c>
      <c r="K41" s="49">
        <f t="shared" si="5"/>
        <v>2194</v>
      </c>
      <c r="L41" s="49">
        <v>1.097</v>
      </c>
    </row>
    <row r="42" spans="1:12" x14ac:dyDescent="0.3">
      <c r="A42" s="52" t="s">
        <v>88</v>
      </c>
      <c r="B42" s="49">
        <v>1500</v>
      </c>
      <c r="C42" s="49">
        <v>0.28999999999999998</v>
      </c>
      <c r="D42" s="49">
        <f>C42*B42</f>
        <v>434.99999999999994</v>
      </c>
      <c r="E42" s="49">
        <v>0.28999999999999998</v>
      </c>
      <c r="H42" s="52" t="s">
        <v>88</v>
      </c>
      <c r="I42" s="49">
        <v>1500</v>
      </c>
      <c r="J42" s="49">
        <v>0.28999999999999998</v>
      </c>
      <c r="K42" s="49">
        <f>J42*I42</f>
        <v>434.99999999999994</v>
      </c>
      <c r="L42" s="49">
        <v>0.28999999999999998</v>
      </c>
    </row>
    <row r="43" spans="1:12" x14ac:dyDescent="0.3">
      <c r="A43" s="52" t="s">
        <v>89</v>
      </c>
      <c r="B43" s="49">
        <v>1500</v>
      </c>
      <c r="C43" s="49">
        <v>2</v>
      </c>
      <c r="D43" s="49">
        <f>C43*B43</f>
        <v>3000</v>
      </c>
      <c r="E43" s="49">
        <v>2</v>
      </c>
      <c r="H43" s="52" t="s">
        <v>89</v>
      </c>
      <c r="I43" s="49">
        <v>1500</v>
      </c>
      <c r="J43" s="49">
        <v>2</v>
      </c>
      <c r="K43" s="49">
        <f>J43*I43</f>
        <v>3000</v>
      </c>
      <c r="L43" s="49">
        <v>2</v>
      </c>
    </row>
    <row r="44" spans="1:12" x14ac:dyDescent="0.3">
      <c r="A44" s="52" t="s">
        <v>145</v>
      </c>
      <c r="B44" s="49">
        <v>1500</v>
      </c>
      <c r="C44" s="76"/>
      <c r="D44" s="49"/>
      <c r="E44" s="53"/>
      <c r="H44" s="52" t="s">
        <v>145</v>
      </c>
      <c r="I44" s="49">
        <v>1500</v>
      </c>
      <c r="J44" s="76"/>
      <c r="K44" s="49"/>
      <c r="L44" s="53"/>
    </row>
    <row r="45" spans="1:12" x14ac:dyDescent="0.3">
      <c r="A45" s="72" t="s">
        <v>41</v>
      </c>
      <c r="B45" s="73">
        <v>0</v>
      </c>
      <c r="C45" s="73"/>
      <c r="D45" s="73"/>
      <c r="E45" s="74"/>
      <c r="H45" s="72" t="s">
        <v>41</v>
      </c>
      <c r="I45" s="73">
        <v>2</v>
      </c>
      <c r="J45" s="73"/>
      <c r="K45" s="73"/>
      <c r="L45" s="74"/>
    </row>
    <row r="46" spans="1:12" x14ac:dyDescent="0.3">
      <c r="A46" s="72" t="s">
        <v>42</v>
      </c>
      <c r="B46" s="73">
        <v>0</v>
      </c>
      <c r="C46" s="73"/>
      <c r="D46" s="73">
        <v>271.10000000000002</v>
      </c>
      <c r="E46" s="74">
        <f>D46/B37</f>
        <v>0.13555</v>
      </c>
      <c r="H46" s="72" t="s">
        <v>42</v>
      </c>
      <c r="I46" s="73">
        <v>0</v>
      </c>
      <c r="J46" s="73"/>
      <c r="K46" s="73">
        <v>271.10000000000002</v>
      </c>
      <c r="L46" s="74">
        <f>K46/I37</f>
        <v>0.13555</v>
      </c>
    </row>
    <row r="47" spans="1:12" ht="14.5" thickBot="1" x14ac:dyDescent="0.35">
      <c r="A47" s="72" t="s">
        <v>43</v>
      </c>
      <c r="B47" s="73">
        <v>0</v>
      </c>
      <c r="C47" s="73"/>
      <c r="D47" s="73">
        <v>472</v>
      </c>
      <c r="E47" s="74">
        <f>D47/B37</f>
        <v>0.23599999999999999</v>
      </c>
      <c r="H47" s="72" t="s">
        <v>43</v>
      </c>
      <c r="I47" s="73">
        <v>0</v>
      </c>
      <c r="J47" s="73"/>
      <c r="K47" s="73">
        <v>472</v>
      </c>
      <c r="L47" s="74">
        <f>K47/I37</f>
        <v>0.23599999999999999</v>
      </c>
    </row>
    <row r="48" spans="1:12" ht="14.5" thickBot="1" x14ac:dyDescent="0.35">
      <c r="A48" s="294" t="s">
        <v>44</v>
      </c>
      <c r="B48" s="295"/>
      <c r="C48" s="223">
        <f>SUM(C32:C47)</f>
        <v>618.81699999999989</v>
      </c>
      <c r="D48" s="223">
        <f>SUM(D32:D47)</f>
        <v>78604.240000000005</v>
      </c>
      <c r="E48" s="47">
        <f>SUM(E32:E47)</f>
        <v>39.874619999999993</v>
      </c>
      <c r="H48" s="294" t="s">
        <v>44</v>
      </c>
      <c r="I48" s="295"/>
      <c r="J48" s="223">
        <f>SUM(J32:J47)</f>
        <v>825.57699999999988</v>
      </c>
      <c r="K48" s="223">
        <f>SUM(K32:K47)</f>
        <v>85634.08</v>
      </c>
      <c r="L48" s="47">
        <f>SUM(L32:L47)</f>
        <v>43.389539999999997</v>
      </c>
    </row>
    <row r="49" spans="1:12" x14ac:dyDescent="0.3">
      <c r="A49" s="296" t="s">
        <v>59</v>
      </c>
      <c r="B49" s="297"/>
      <c r="C49" s="297"/>
      <c r="D49" s="298"/>
      <c r="E49" s="61">
        <v>359</v>
      </c>
      <c r="H49" s="296" t="s">
        <v>59</v>
      </c>
      <c r="I49" s="297"/>
      <c r="J49" s="297"/>
      <c r="K49" s="298"/>
      <c r="L49" s="61">
        <v>339</v>
      </c>
    </row>
    <row r="50" spans="1:12" x14ac:dyDescent="0.3">
      <c r="A50" s="277" t="s">
        <v>60</v>
      </c>
      <c r="B50" s="278"/>
      <c r="C50" s="278"/>
      <c r="D50" s="279"/>
      <c r="E50" s="62">
        <f>E49-E48</f>
        <v>319.12538000000001</v>
      </c>
      <c r="H50" s="277" t="s">
        <v>60</v>
      </c>
      <c r="I50" s="278"/>
      <c r="J50" s="278"/>
      <c r="K50" s="279"/>
      <c r="L50" s="62">
        <f>L49-L48</f>
        <v>295.61045999999999</v>
      </c>
    </row>
    <row r="51" spans="1:12" x14ac:dyDescent="0.3">
      <c r="A51" s="277" t="s">
        <v>61</v>
      </c>
      <c r="B51" s="278"/>
      <c r="C51" s="278"/>
      <c r="D51" s="279"/>
      <c r="E51" s="63">
        <f>E49*B39</f>
        <v>718000</v>
      </c>
      <c r="H51" s="277" t="s">
        <v>61</v>
      </c>
      <c r="I51" s="278"/>
      <c r="J51" s="278"/>
      <c r="K51" s="279"/>
      <c r="L51" s="63">
        <f>L49*I37</f>
        <v>678000</v>
      </c>
    </row>
    <row r="52" spans="1:12" ht="14.5" thickBot="1" x14ac:dyDescent="0.35">
      <c r="A52" s="305" t="s">
        <v>62</v>
      </c>
      <c r="B52" s="306"/>
      <c r="C52" s="306"/>
      <c r="D52" s="307"/>
      <c r="E52" s="64">
        <f>E51-D48</f>
        <v>639395.76</v>
      </c>
      <c r="H52" s="305" t="s">
        <v>62</v>
      </c>
      <c r="I52" s="306"/>
      <c r="J52" s="306"/>
      <c r="K52" s="307"/>
      <c r="L52" s="64">
        <f>L51-K48</f>
        <v>592365.92000000004</v>
      </c>
    </row>
    <row r="56" spans="1:12" ht="14.5" thickBot="1" x14ac:dyDescent="0.35"/>
    <row r="57" spans="1:12" x14ac:dyDescent="0.3">
      <c r="A57" s="283" t="s">
        <v>127</v>
      </c>
      <c r="B57" s="284"/>
      <c r="C57" s="284"/>
      <c r="D57" s="284"/>
      <c r="E57" s="285"/>
      <c r="H57" s="283" t="s">
        <v>130</v>
      </c>
      <c r="I57" s="284"/>
      <c r="J57" s="284"/>
      <c r="K57" s="284"/>
      <c r="L57" s="285"/>
    </row>
    <row r="58" spans="1:12" ht="14.5" thickBot="1" x14ac:dyDescent="0.35">
      <c r="A58" s="286"/>
      <c r="B58" s="287"/>
      <c r="C58" s="287"/>
      <c r="D58" s="287"/>
      <c r="E58" s="288"/>
      <c r="H58" s="286"/>
      <c r="I58" s="287"/>
      <c r="J58" s="287"/>
      <c r="K58" s="287"/>
      <c r="L58" s="288"/>
    </row>
    <row r="59" spans="1:12" ht="14.5" thickBot="1" x14ac:dyDescent="0.35">
      <c r="A59" s="222" t="s">
        <v>35</v>
      </c>
      <c r="B59" s="223" t="s">
        <v>36</v>
      </c>
      <c r="C59" s="223" t="s">
        <v>37</v>
      </c>
      <c r="D59" s="223" t="s">
        <v>38</v>
      </c>
      <c r="E59" s="47" t="s">
        <v>58</v>
      </c>
      <c r="H59" s="222" t="s">
        <v>35</v>
      </c>
      <c r="I59" s="223" t="s">
        <v>36</v>
      </c>
      <c r="J59" s="223" t="s">
        <v>37</v>
      </c>
      <c r="K59" s="223" t="s">
        <v>38</v>
      </c>
      <c r="L59" s="47" t="s">
        <v>58</v>
      </c>
    </row>
    <row r="60" spans="1:12" x14ac:dyDescent="0.3">
      <c r="A60" s="69" t="s">
        <v>93</v>
      </c>
      <c r="B60" s="70">
        <v>5</v>
      </c>
      <c r="C60" s="70">
        <v>1113.02</v>
      </c>
      <c r="D60" s="70">
        <f>C60*B60</f>
        <v>5565.1</v>
      </c>
      <c r="E60" s="71">
        <f>D60/B66</f>
        <v>11.666876310272537</v>
      </c>
      <c r="H60" s="69" t="s">
        <v>92</v>
      </c>
      <c r="I60" s="70">
        <v>6</v>
      </c>
      <c r="J60" s="70">
        <v>651.1</v>
      </c>
      <c r="K60" s="70">
        <f>J60*I60</f>
        <v>3906.6000000000004</v>
      </c>
      <c r="L60" s="71">
        <f>K60/I62</f>
        <v>8.585934065934067</v>
      </c>
    </row>
    <row r="61" spans="1:12" x14ac:dyDescent="0.3">
      <c r="A61" s="69" t="s">
        <v>71</v>
      </c>
      <c r="B61" s="70">
        <v>1</v>
      </c>
      <c r="C61" s="70"/>
      <c r="D61" s="70">
        <v>348.8</v>
      </c>
      <c r="E61" s="71">
        <f>D61/B66</f>
        <v>0.73123689727463315</v>
      </c>
      <c r="H61" s="69" t="s">
        <v>71</v>
      </c>
      <c r="I61" s="70">
        <v>1</v>
      </c>
      <c r="J61" s="70"/>
      <c r="K61" s="70">
        <v>348.8</v>
      </c>
      <c r="L61" s="71">
        <f>K61/I66</f>
        <v>0.76659340659340658</v>
      </c>
    </row>
    <row r="62" spans="1:12" x14ac:dyDescent="0.3">
      <c r="A62" s="52" t="s">
        <v>39</v>
      </c>
      <c r="B62" s="49">
        <v>477</v>
      </c>
      <c r="C62" s="76">
        <v>8</v>
      </c>
      <c r="D62" s="49">
        <f t="shared" ref="D62" si="6">C62*B62</f>
        <v>3816</v>
      </c>
      <c r="E62" s="76">
        <v>8</v>
      </c>
      <c r="H62" s="52" t="s">
        <v>39</v>
      </c>
      <c r="I62" s="49">
        <v>455</v>
      </c>
      <c r="J62" s="76">
        <v>8</v>
      </c>
      <c r="K62" s="49">
        <f t="shared" ref="K62" si="7">J62*I62</f>
        <v>3640</v>
      </c>
      <c r="L62" s="76">
        <v>8</v>
      </c>
    </row>
    <row r="63" spans="1:12" x14ac:dyDescent="0.3">
      <c r="A63" s="52" t="s">
        <v>72</v>
      </c>
      <c r="B63" s="49">
        <v>477</v>
      </c>
      <c r="C63" s="49">
        <v>0.25</v>
      </c>
      <c r="D63" s="49">
        <v>348.93</v>
      </c>
      <c r="E63" s="49">
        <v>0.25</v>
      </c>
      <c r="H63" s="52" t="s">
        <v>72</v>
      </c>
      <c r="I63" s="49">
        <v>455</v>
      </c>
      <c r="J63" s="49">
        <v>0.25</v>
      </c>
      <c r="K63" s="49">
        <f>J63*I63</f>
        <v>113.75</v>
      </c>
      <c r="L63" s="49">
        <v>0.25</v>
      </c>
    </row>
    <row r="64" spans="1:12" x14ac:dyDescent="0.3">
      <c r="A64" s="52" t="s">
        <v>96</v>
      </c>
      <c r="B64" s="49">
        <v>477</v>
      </c>
      <c r="C64" s="49">
        <v>9</v>
      </c>
      <c r="D64" s="49">
        <f>C64*B64</f>
        <v>4293</v>
      </c>
      <c r="E64" s="49">
        <v>9</v>
      </c>
      <c r="H64" s="52" t="s">
        <v>96</v>
      </c>
      <c r="I64" s="49">
        <v>455</v>
      </c>
      <c r="J64" s="49">
        <v>9</v>
      </c>
      <c r="K64" s="49">
        <f>J64*I64</f>
        <v>4095</v>
      </c>
      <c r="L64" s="49">
        <v>9</v>
      </c>
    </row>
    <row r="65" spans="1:12" x14ac:dyDescent="0.3">
      <c r="A65" s="52" t="s">
        <v>40</v>
      </c>
      <c r="B65" s="49">
        <v>477</v>
      </c>
      <c r="C65" s="49">
        <v>4.5</v>
      </c>
      <c r="D65" s="49">
        <f t="shared" ref="D65:D72" si="8">C65*B65</f>
        <v>2146.5</v>
      </c>
      <c r="E65" s="49">
        <v>4.5</v>
      </c>
      <c r="H65" s="52" t="s">
        <v>40</v>
      </c>
      <c r="I65" s="49">
        <v>455</v>
      </c>
      <c r="J65" s="49">
        <v>4.5</v>
      </c>
      <c r="K65" s="49">
        <f t="shared" ref="K65:K72" si="9">J65*I65</f>
        <v>2047.5</v>
      </c>
      <c r="L65" s="49">
        <v>4.5</v>
      </c>
    </row>
    <row r="66" spans="1:12" x14ac:dyDescent="0.3">
      <c r="A66" s="52" t="s">
        <v>69</v>
      </c>
      <c r="B66" s="49">
        <v>477</v>
      </c>
      <c r="C66" s="49">
        <v>1.37</v>
      </c>
      <c r="D66" s="49">
        <f t="shared" si="8"/>
        <v>653.49</v>
      </c>
      <c r="E66" s="49">
        <v>1.37</v>
      </c>
      <c r="H66" s="52" t="s">
        <v>69</v>
      </c>
      <c r="I66" s="49">
        <v>455</v>
      </c>
      <c r="J66" s="49">
        <v>1.37</v>
      </c>
      <c r="K66" s="49">
        <f t="shared" si="9"/>
        <v>623.35</v>
      </c>
      <c r="L66" s="49">
        <v>1.37</v>
      </c>
    </row>
    <row r="67" spans="1:12" x14ac:dyDescent="0.3">
      <c r="A67" s="52" t="s">
        <v>63</v>
      </c>
      <c r="B67" s="49">
        <v>477</v>
      </c>
      <c r="C67" s="49">
        <v>2</v>
      </c>
      <c r="D67" s="49">
        <f t="shared" si="8"/>
        <v>954</v>
      </c>
      <c r="E67" s="49">
        <v>2</v>
      </c>
      <c r="H67" s="52" t="s">
        <v>63</v>
      </c>
      <c r="I67" s="49">
        <v>455</v>
      </c>
      <c r="J67" s="49">
        <v>2</v>
      </c>
      <c r="K67" s="49">
        <f t="shared" si="9"/>
        <v>910</v>
      </c>
      <c r="L67" s="49">
        <v>2</v>
      </c>
    </row>
    <row r="68" spans="1:12" ht="12" customHeight="1" x14ac:dyDescent="0.3">
      <c r="A68" s="52" t="s">
        <v>77</v>
      </c>
      <c r="B68" s="49">
        <v>477</v>
      </c>
      <c r="C68" s="49">
        <v>0.43</v>
      </c>
      <c r="D68" s="49">
        <f t="shared" si="8"/>
        <v>205.10999999999999</v>
      </c>
      <c r="E68" s="49">
        <v>0.43</v>
      </c>
      <c r="H68" s="52" t="s">
        <v>77</v>
      </c>
      <c r="I68" s="49">
        <v>455</v>
      </c>
      <c r="J68" s="49">
        <v>0.43</v>
      </c>
      <c r="K68" s="49">
        <f t="shared" si="9"/>
        <v>195.65</v>
      </c>
      <c r="L68" s="49">
        <v>0.43</v>
      </c>
    </row>
    <row r="69" spans="1:12" x14ac:dyDescent="0.3">
      <c r="A69" s="52" t="s">
        <v>85</v>
      </c>
      <c r="B69" s="49">
        <v>477</v>
      </c>
      <c r="C69" s="49">
        <v>1.097</v>
      </c>
      <c r="D69" s="49">
        <f t="shared" si="8"/>
        <v>523.26900000000001</v>
      </c>
      <c r="E69" s="49">
        <v>1.097</v>
      </c>
      <c r="H69" s="52" t="s">
        <v>85</v>
      </c>
      <c r="I69" s="49">
        <v>455</v>
      </c>
      <c r="J69" s="49">
        <v>1.097</v>
      </c>
      <c r="K69" s="49">
        <f t="shared" si="9"/>
        <v>499.13499999999999</v>
      </c>
      <c r="L69" s="49">
        <v>1.097</v>
      </c>
    </row>
    <row r="70" spans="1:12" x14ac:dyDescent="0.3">
      <c r="A70" s="52" t="s">
        <v>87</v>
      </c>
      <c r="B70" s="49">
        <v>477</v>
      </c>
      <c r="C70" s="49">
        <v>0.28999999999999998</v>
      </c>
      <c r="D70" s="49">
        <f t="shared" si="8"/>
        <v>138.32999999999998</v>
      </c>
      <c r="E70" s="49">
        <v>0.28999999999999998</v>
      </c>
      <c r="H70" s="52" t="s">
        <v>87</v>
      </c>
      <c r="I70" s="49">
        <v>455</v>
      </c>
      <c r="J70" s="49">
        <v>0.28999999999999998</v>
      </c>
      <c r="K70" s="49">
        <f t="shared" si="9"/>
        <v>131.94999999999999</v>
      </c>
      <c r="L70" s="49">
        <v>0.28999999999999998</v>
      </c>
    </row>
    <row r="71" spans="1:12" x14ac:dyDescent="0.3">
      <c r="A71" s="52" t="s">
        <v>88</v>
      </c>
      <c r="B71" s="49">
        <v>500</v>
      </c>
      <c r="C71" s="49">
        <v>2</v>
      </c>
      <c r="D71" s="49">
        <f t="shared" si="8"/>
        <v>1000</v>
      </c>
      <c r="E71" s="49">
        <v>2</v>
      </c>
      <c r="H71" s="52" t="s">
        <v>88</v>
      </c>
      <c r="I71" s="49">
        <v>500</v>
      </c>
      <c r="J71" s="49">
        <v>2</v>
      </c>
      <c r="K71" s="49">
        <f t="shared" si="9"/>
        <v>1000</v>
      </c>
      <c r="L71" s="49">
        <v>2</v>
      </c>
    </row>
    <row r="72" spans="1:12" x14ac:dyDescent="0.3">
      <c r="A72" s="52" t="s">
        <v>89</v>
      </c>
      <c r="B72" s="49">
        <v>500</v>
      </c>
      <c r="C72" s="49">
        <v>2</v>
      </c>
      <c r="D72" s="49">
        <f t="shared" si="8"/>
        <v>1000</v>
      </c>
      <c r="E72" s="49">
        <v>2</v>
      </c>
      <c r="H72" s="68" t="s">
        <v>89</v>
      </c>
      <c r="I72" s="49">
        <v>500</v>
      </c>
      <c r="J72" s="49">
        <v>2</v>
      </c>
      <c r="K72" s="76">
        <f t="shared" si="9"/>
        <v>1000</v>
      </c>
      <c r="L72" s="49">
        <v>2</v>
      </c>
    </row>
    <row r="73" spans="1:12" x14ac:dyDescent="0.3">
      <c r="A73" s="52" t="s">
        <v>145</v>
      </c>
      <c r="B73" s="49">
        <v>500</v>
      </c>
      <c r="C73" s="76"/>
      <c r="D73" s="49"/>
      <c r="E73" s="53"/>
      <c r="H73" s="68" t="s">
        <v>145</v>
      </c>
      <c r="I73" s="49">
        <v>500</v>
      </c>
      <c r="J73" s="49"/>
      <c r="K73" s="76"/>
      <c r="L73" s="53"/>
    </row>
    <row r="74" spans="1:12" x14ac:dyDescent="0.3">
      <c r="A74" s="72" t="s">
        <v>41</v>
      </c>
      <c r="B74" s="73">
        <v>2</v>
      </c>
      <c r="C74" s="73"/>
      <c r="D74" s="73"/>
      <c r="E74" s="74"/>
      <c r="H74" s="72" t="s">
        <v>41</v>
      </c>
      <c r="I74" s="73">
        <v>2</v>
      </c>
      <c r="J74" s="73"/>
      <c r="K74" s="73"/>
      <c r="L74" s="74"/>
    </row>
    <row r="75" spans="1:12" x14ac:dyDescent="0.3">
      <c r="A75" s="72" t="s">
        <v>42</v>
      </c>
      <c r="B75" s="73">
        <v>0</v>
      </c>
      <c r="C75" s="73"/>
      <c r="D75" s="73">
        <v>271.10000000000002</v>
      </c>
      <c r="E75" s="74">
        <f>D75/B66</f>
        <v>0.56834381551362689</v>
      </c>
      <c r="H75" s="72" t="s">
        <v>42</v>
      </c>
      <c r="I75" s="73">
        <v>0</v>
      </c>
      <c r="J75" s="73"/>
      <c r="K75" s="73">
        <v>271.10000000000002</v>
      </c>
      <c r="L75" s="74">
        <f>K75/I66</f>
        <v>0.59582417582417591</v>
      </c>
    </row>
    <row r="76" spans="1:12" ht="14.5" thickBot="1" x14ac:dyDescent="0.35">
      <c r="A76" s="72" t="s">
        <v>43</v>
      </c>
      <c r="B76" s="73">
        <v>0</v>
      </c>
      <c r="C76" s="73"/>
      <c r="D76" s="73">
        <v>472</v>
      </c>
      <c r="E76" s="74">
        <f>D76/B66</f>
        <v>0.98951781970649899</v>
      </c>
      <c r="H76" s="72" t="s">
        <v>43</v>
      </c>
      <c r="I76" s="73">
        <v>0</v>
      </c>
      <c r="J76" s="73"/>
      <c r="K76" s="73">
        <v>472</v>
      </c>
      <c r="L76" s="74">
        <f>K76/I66</f>
        <v>1.0373626373626375</v>
      </c>
    </row>
    <row r="77" spans="1:12" ht="14.5" thickBot="1" x14ac:dyDescent="0.35">
      <c r="A77" s="294" t="s">
        <v>44</v>
      </c>
      <c r="B77" s="295"/>
      <c r="C77" s="223">
        <f>SUM(C60:C76)</f>
        <v>1143.9569999999999</v>
      </c>
      <c r="D77" s="223">
        <f>SUM(D60:D76)</f>
        <v>21735.629000000004</v>
      </c>
      <c r="E77" s="47">
        <f>SUM(E60:E76)</f>
        <v>44.892974842767295</v>
      </c>
      <c r="H77" s="294" t="s">
        <v>44</v>
      </c>
      <c r="I77" s="295"/>
      <c r="J77" s="223">
        <f>SUM(J60:J76)</f>
        <v>682.03699999999992</v>
      </c>
      <c r="K77" s="223">
        <f>SUM(K60:K76)</f>
        <v>19254.834999999999</v>
      </c>
      <c r="L77" s="47">
        <f>SUM(L60:L76)</f>
        <v>41.922714285714292</v>
      </c>
    </row>
    <row r="78" spans="1:12" x14ac:dyDescent="0.3">
      <c r="A78" s="296" t="s">
        <v>59</v>
      </c>
      <c r="B78" s="297"/>
      <c r="C78" s="297"/>
      <c r="D78" s="298"/>
      <c r="E78" s="61">
        <v>369</v>
      </c>
      <c r="H78" s="296" t="s">
        <v>59</v>
      </c>
      <c r="I78" s="297"/>
      <c r="J78" s="297"/>
      <c r="K78" s="298"/>
      <c r="L78" s="61">
        <v>369</v>
      </c>
    </row>
    <row r="79" spans="1:12" x14ac:dyDescent="0.3">
      <c r="A79" s="277" t="s">
        <v>60</v>
      </c>
      <c r="B79" s="278"/>
      <c r="C79" s="278"/>
      <c r="D79" s="279"/>
      <c r="E79" s="62">
        <f>E78-E77</f>
        <v>324.10702515723273</v>
      </c>
      <c r="H79" s="277" t="s">
        <v>60</v>
      </c>
      <c r="I79" s="278"/>
      <c r="J79" s="278"/>
      <c r="K79" s="279"/>
      <c r="L79" s="62">
        <f>L78-L77</f>
        <v>327.07728571428572</v>
      </c>
    </row>
    <row r="80" spans="1:12" x14ac:dyDescent="0.3">
      <c r="A80" s="277" t="s">
        <v>61</v>
      </c>
      <c r="B80" s="278"/>
      <c r="C80" s="278"/>
      <c r="D80" s="279"/>
      <c r="E80" s="63">
        <f>E78*B66</f>
        <v>176013</v>
      </c>
      <c r="H80" s="277" t="s">
        <v>61</v>
      </c>
      <c r="I80" s="278"/>
      <c r="J80" s="278"/>
      <c r="K80" s="279"/>
      <c r="L80" s="63">
        <f>L78*I66</f>
        <v>167895</v>
      </c>
    </row>
    <row r="81" spans="1:12" ht="14.5" thickBot="1" x14ac:dyDescent="0.35">
      <c r="A81" s="280" t="s">
        <v>62</v>
      </c>
      <c r="B81" s="281"/>
      <c r="C81" s="281"/>
      <c r="D81" s="282"/>
      <c r="E81" s="77">
        <f>E80-D77</f>
        <v>154277.37099999998</v>
      </c>
      <c r="H81" s="280" t="s">
        <v>62</v>
      </c>
      <c r="I81" s="281"/>
      <c r="J81" s="281"/>
      <c r="K81" s="282"/>
      <c r="L81" s="77">
        <f>L80-K77</f>
        <v>148640.16500000001</v>
      </c>
    </row>
    <row r="83" spans="1:12" ht="14.5" thickBot="1" x14ac:dyDescent="0.35"/>
    <row r="84" spans="1:12" x14ac:dyDescent="0.3">
      <c r="A84" s="283" t="s">
        <v>137</v>
      </c>
      <c r="B84" s="284"/>
      <c r="C84" s="284"/>
      <c r="D84" s="284"/>
      <c r="E84" s="285"/>
      <c r="H84" s="299" t="s">
        <v>138</v>
      </c>
      <c r="I84" s="300"/>
      <c r="J84" s="300"/>
      <c r="K84" s="300"/>
      <c r="L84" s="301"/>
    </row>
    <row r="85" spans="1:12" ht="14.5" thickBot="1" x14ac:dyDescent="0.35">
      <c r="A85" s="286"/>
      <c r="B85" s="287"/>
      <c r="C85" s="287"/>
      <c r="D85" s="287"/>
      <c r="E85" s="288"/>
      <c r="H85" s="302"/>
      <c r="I85" s="303"/>
      <c r="J85" s="303"/>
      <c r="K85" s="303"/>
      <c r="L85" s="304"/>
    </row>
    <row r="86" spans="1:12" ht="14.5" thickBot="1" x14ac:dyDescent="0.35">
      <c r="A86" s="222" t="s">
        <v>35</v>
      </c>
      <c r="B86" s="223" t="s">
        <v>36</v>
      </c>
      <c r="C86" s="223" t="s">
        <v>37</v>
      </c>
      <c r="D86" s="223" t="s">
        <v>38</v>
      </c>
      <c r="E86" s="47" t="s">
        <v>58</v>
      </c>
      <c r="H86" s="222" t="s">
        <v>35</v>
      </c>
      <c r="I86" s="223" t="s">
        <v>36</v>
      </c>
      <c r="J86" s="223" t="s">
        <v>37</v>
      </c>
      <c r="K86" s="223" t="s">
        <v>38</v>
      </c>
      <c r="L86" s="47" t="s">
        <v>58</v>
      </c>
    </row>
    <row r="87" spans="1:12" x14ac:dyDescent="0.3">
      <c r="A87" s="69" t="s">
        <v>94</v>
      </c>
      <c r="B87" s="70">
        <v>1</v>
      </c>
      <c r="C87" s="70">
        <v>844.66</v>
      </c>
      <c r="D87" s="70">
        <f>C87*B87</f>
        <v>844.66</v>
      </c>
      <c r="E87" s="71">
        <f>D87/B93</f>
        <v>2.2053785900783289</v>
      </c>
      <c r="H87" s="69" t="s">
        <v>94</v>
      </c>
      <c r="I87" s="70">
        <v>1</v>
      </c>
      <c r="J87" s="70">
        <v>1433.66</v>
      </c>
      <c r="K87" s="70">
        <f>J87*I87</f>
        <v>1433.66</v>
      </c>
      <c r="L87" s="71">
        <f>K87/I89</f>
        <v>5.2708088235294124</v>
      </c>
    </row>
    <row r="88" spans="1:12" x14ac:dyDescent="0.3">
      <c r="A88" s="69" t="s">
        <v>71</v>
      </c>
      <c r="B88" s="70">
        <v>1</v>
      </c>
      <c r="C88" s="70"/>
      <c r="D88" s="70">
        <v>348.8</v>
      </c>
      <c r="E88" s="71">
        <f>D88/B93</f>
        <v>0.91070496083550911</v>
      </c>
      <c r="H88" s="69" t="s">
        <v>71</v>
      </c>
      <c r="I88" s="70">
        <v>1</v>
      </c>
      <c r="J88" s="70"/>
      <c r="K88" s="70"/>
      <c r="L88" s="71">
        <f>K88/I93</f>
        <v>0</v>
      </c>
    </row>
    <row r="89" spans="1:12" x14ac:dyDescent="0.3">
      <c r="A89" s="52" t="s">
        <v>39</v>
      </c>
      <c r="B89" s="49">
        <v>383</v>
      </c>
      <c r="C89" s="76">
        <v>7</v>
      </c>
      <c r="D89" s="49">
        <f>C89*B89</f>
        <v>2681</v>
      </c>
      <c r="E89" s="53">
        <v>4.5</v>
      </c>
      <c r="H89" s="52" t="s">
        <v>39</v>
      </c>
      <c r="I89" s="49">
        <v>272</v>
      </c>
      <c r="J89" s="76">
        <v>7</v>
      </c>
      <c r="K89" s="49">
        <f>J89*I89</f>
        <v>1904</v>
      </c>
      <c r="L89" s="53">
        <v>4.5</v>
      </c>
    </row>
    <row r="90" spans="1:12" x14ac:dyDescent="0.3">
      <c r="A90" s="52" t="s">
        <v>72</v>
      </c>
      <c r="B90" s="49">
        <v>383</v>
      </c>
      <c r="C90" s="49">
        <v>0</v>
      </c>
      <c r="D90" s="49">
        <f>C90*B90</f>
        <v>0</v>
      </c>
      <c r="E90" s="53">
        <v>0</v>
      </c>
      <c r="H90" s="52" t="s">
        <v>72</v>
      </c>
      <c r="I90" s="49">
        <v>272</v>
      </c>
      <c r="J90" s="49">
        <v>0</v>
      </c>
      <c r="K90" s="49">
        <f>J90*I90</f>
        <v>0</v>
      </c>
      <c r="L90" s="53">
        <v>0</v>
      </c>
    </row>
    <row r="91" spans="1:12" x14ac:dyDescent="0.3">
      <c r="A91" s="52" t="s">
        <v>96</v>
      </c>
      <c r="B91" s="49">
        <v>383</v>
      </c>
      <c r="C91" s="49">
        <v>0.5</v>
      </c>
      <c r="D91" s="49">
        <f>C91*B91</f>
        <v>191.5</v>
      </c>
      <c r="E91" s="53">
        <v>0.5</v>
      </c>
      <c r="H91" s="52" t="s">
        <v>96</v>
      </c>
      <c r="I91" s="49">
        <v>272</v>
      </c>
      <c r="J91" s="49">
        <v>0.5</v>
      </c>
      <c r="K91" s="49">
        <f>J91*I91</f>
        <v>136</v>
      </c>
      <c r="L91" s="53">
        <v>0.5</v>
      </c>
    </row>
    <row r="92" spans="1:12" x14ac:dyDescent="0.3">
      <c r="A92" s="52" t="s">
        <v>40</v>
      </c>
      <c r="B92" s="49">
        <v>383</v>
      </c>
      <c r="C92" s="76">
        <v>4</v>
      </c>
      <c r="D92" s="49">
        <f t="shared" ref="D92:D98" si="10">C92*B92</f>
        <v>1532</v>
      </c>
      <c r="E92" s="53">
        <v>4</v>
      </c>
      <c r="H92" s="52" t="s">
        <v>40</v>
      </c>
      <c r="I92" s="49">
        <v>272</v>
      </c>
      <c r="J92" s="76">
        <v>4</v>
      </c>
      <c r="K92" s="49">
        <f t="shared" ref="K92:K98" si="11">J92*I92</f>
        <v>1088</v>
      </c>
      <c r="L92" s="53">
        <v>4</v>
      </c>
    </row>
    <row r="93" spans="1:12" x14ac:dyDescent="0.3">
      <c r="A93" s="52" t="s">
        <v>95</v>
      </c>
      <c r="B93" s="49">
        <v>383</v>
      </c>
      <c r="C93" s="49">
        <v>2.5</v>
      </c>
      <c r="D93" s="49">
        <f t="shared" si="10"/>
        <v>957.5</v>
      </c>
      <c r="E93" s="53">
        <v>2.5</v>
      </c>
      <c r="H93" s="52" t="s">
        <v>95</v>
      </c>
      <c r="I93" s="49">
        <v>272</v>
      </c>
      <c r="J93" s="49">
        <v>2.5</v>
      </c>
      <c r="K93" s="49">
        <f t="shared" si="11"/>
        <v>680</v>
      </c>
      <c r="L93" s="53">
        <v>2.5</v>
      </c>
    </row>
    <row r="94" spans="1:12" x14ac:dyDescent="0.3">
      <c r="A94" s="52" t="s">
        <v>63</v>
      </c>
      <c r="B94" s="49">
        <v>383</v>
      </c>
      <c r="C94" s="49">
        <v>2.33</v>
      </c>
      <c r="D94" s="49">
        <f t="shared" si="10"/>
        <v>892.39</v>
      </c>
      <c r="E94" s="53">
        <v>2.33</v>
      </c>
      <c r="H94" s="52" t="s">
        <v>63</v>
      </c>
      <c r="I94" s="49">
        <v>272</v>
      </c>
      <c r="J94" s="49">
        <v>2.33</v>
      </c>
      <c r="K94" s="49">
        <f t="shared" si="11"/>
        <v>633.76</v>
      </c>
      <c r="L94" s="53">
        <v>2.33</v>
      </c>
    </row>
    <row r="95" spans="1:12" x14ac:dyDescent="0.3">
      <c r="A95" s="52" t="s">
        <v>77</v>
      </c>
      <c r="B95" s="49">
        <v>383</v>
      </c>
      <c r="C95" s="49">
        <v>0.75</v>
      </c>
      <c r="D95" s="49">
        <f t="shared" si="10"/>
        <v>287.25</v>
      </c>
      <c r="E95" s="53">
        <v>0.75</v>
      </c>
      <c r="H95" s="52" t="s">
        <v>77</v>
      </c>
      <c r="I95" s="49">
        <v>272</v>
      </c>
      <c r="J95" s="49">
        <v>0.75</v>
      </c>
      <c r="K95" s="49">
        <f t="shared" si="11"/>
        <v>204</v>
      </c>
      <c r="L95" s="53">
        <v>0.75</v>
      </c>
    </row>
    <row r="96" spans="1:12" x14ac:dyDescent="0.3">
      <c r="A96" s="52" t="s">
        <v>85</v>
      </c>
      <c r="B96" s="49">
        <v>383</v>
      </c>
      <c r="C96" s="49">
        <v>0.25</v>
      </c>
      <c r="D96" s="49">
        <f t="shared" si="10"/>
        <v>95.75</v>
      </c>
      <c r="E96" s="53">
        <v>0.25</v>
      </c>
      <c r="H96" s="52" t="s">
        <v>85</v>
      </c>
      <c r="I96" s="49">
        <v>272</v>
      </c>
      <c r="J96" s="49">
        <v>0.25</v>
      </c>
      <c r="K96" s="49">
        <f t="shared" si="11"/>
        <v>68</v>
      </c>
      <c r="L96" s="53">
        <v>0.25</v>
      </c>
    </row>
    <row r="97" spans="1:12" x14ac:dyDescent="0.3">
      <c r="A97" s="52" t="s">
        <v>88</v>
      </c>
      <c r="B97" s="49">
        <v>250</v>
      </c>
      <c r="C97" s="49">
        <v>0.79</v>
      </c>
      <c r="D97" s="49">
        <f t="shared" si="10"/>
        <v>197.5</v>
      </c>
      <c r="E97" s="53">
        <f>C97</f>
        <v>0.79</v>
      </c>
      <c r="H97" s="52" t="s">
        <v>88</v>
      </c>
      <c r="I97" s="49">
        <v>250</v>
      </c>
      <c r="J97" s="49">
        <v>0.79</v>
      </c>
      <c r="K97" s="49">
        <f t="shared" si="11"/>
        <v>197.5</v>
      </c>
      <c r="L97" s="53">
        <f>J97</f>
        <v>0.79</v>
      </c>
    </row>
    <row r="98" spans="1:12" x14ac:dyDescent="0.3">
      <c r="A98" s="68" t="s">
        <v>89</v>
      </c>
      <c r="B98" s="49">
        <v>250</v>
      </c>
      <c r="C98" s="76">
        <v>2</v>
      </c>
      <c r="D98" s="49">
        <f t="shared" si="10"/>
        <v>500</v>
      </c>
      <c r="E98" s="53">
        <f>C98</f>
        <v>2</v>
      </c>
      <c r="H98" s="68" t="s">
        <v>89</v>
      </c>
      <c r="I98" s="49">
        <v>250</v>
      </c>
      <c r="J98" s="76">
        <v>2</v>
      </c>
      <c r="K98" s="49">
        <f t="shared" si="11"/>
        <v>500</v>
      </c>
      <c r="L98" s="53">
        <f>J98</f>
        <v>2</v>
      </c>
    </row>
    <row r="99" spans="1:12" x14ac:dyDescent="0.3">
      <c r="A99" s="68" t="s">
        <v>145</v>
      </c>
      <c r="B99" s="49">
        <v>250</v>
      </c>
      <c r="C99" s="76"/>
      <c r="D99" s="49"/>
      <c r="E99" s="53"/>
      <c r="H99" s="68" t="s">
        <v>145</v>
      </c>
      <c r="I99" s="49">
        <v>250</v>
      </c>
      <c r="J99" s="76"/>
      <c r="K99" s="49"/>
      <c r="L99" s="53"/>
    </row>
    <row r="100" spans="1:12" x14ac:dyDescent="0.3">
      <c r="A100" s="72" t="s">
        <v>41</v>
      </c>
      <c r="B100" s="73">
        <v>2</v>
      </c>
      <c r="C100" s="73"/>
      <c r="D100" s="73"/>
      <c r="E100" s="74"/>
      <c r="H100" s="72" t="s">
        <v>41</v>
      </c>
      <c r="I100" s="73">
        <v>2</v>
      </c>
      <c r="J100" s="73"/>
      <c r="K100" s="73"/>
      <c r="L100" s="74"/>
    </row>
    <row r="101" spans="1:12" x14ac:dyDescent="0.3">
      <c r="A101" s="72" t="s">
        <v>42</v>
      </c>
      <c r="B101" s="73">
        <v>0</v>
      </c>
      <c r="C101" s="73"/>
      <c r="D101" s="73">
        <v>271.10000000000002</v>
      </c>
      <c r="E101" s="74">
        <f>D101/B93</f>
        <v>0.70783289817232387</v>
      </c>
      <c r="H101" s="72" t="s">
        <v>42</v>
      </c>
      <c r="I101" s="73">
        <v>0</v>
      </c>
      <c r="J101" s="73"/>
      <c r="K101" s="73"/>
      <c r="L101" s="74">
        <f>K101/I93</f>
        <v>0</v>
      </c>
    </row>
    <row r="102" spans="1:12" ht="14.5" thickBot="1" x14ac:dyDescent="0.35">
      <c r="A102" s="72" t="s">
        <v>43</v>
      </c>
      <c r="B102" s="73">
        <v>0</v>
      </c>
      <c r="C102" s="73"/>
      <c r="D102" s="73">
        <v>472</v>
      </c>
      <c r="E102" s="74">
        <f>D102/B93</f>
        <v>1.2323759791122715</v>
      </c>
      <c r="H102" s="72" t="s">
        <v>43</v>
      </c>
      <c r="I102" s="73">
        <v>0</v>
      </c>
      <c r="J102" s="73"/>
      <c r="K102" s="73"/>
      <c r="L102" s="74"/>
    </row>
    <row r="103" spans="1:12" ht="14.5" thickBot="1" x14ac:dyDescent="0.35">
      <c r="A103" s="294" t="s">
        <v>44</v>
      </c>
      <c r="B103" s="295"/>
      <c r="C103" s="223">
        <f>SUM(C87:C102)</f>
        <v>864.78</v>
      </c>
      <c r="D103" s="223">
        <f>SUM(D87:D102)</f>
        <v>9271.4500000000007</v>
      </c>
      <c r="E103" s="47">
        <f>SUM(E87:E102)</f>
        <v>22.676292428198437</v>
      </c>
      <c r="H103" s="294" t="s">
        <v>44</v>
      </c>
      <c r="I103" s="295"/>
      <c r="J103" s="223">
        <f>SUM(J87:J102)</f>
        <v>1453.78</v>
      </c>
      <c r="K103" s="223">
        <f>SUM(K87:K102)</f>
        <v>6844.92</v>
      </c>
      <c r="L103" s="47">
        <f>SUM(L87:L102)</f>
        <v>22.890808823529412</v>
      </c>
    </row>
    <row r="104" spans="1:12" x14ac:dyDescent="0.3">
      <c r="A104" s="296" t="s">
        <v>59</v>
      </c>
      <c r="B104" s="297"/>
      <c r="C104" s="297"/>
      <c r="D104" s="298"/>
      <c r="E104" s="61">
        <v>189</v>
      </c>
      <c r="H104" s="296" t="s">
        <v>59</v>
      </c>
      <c r="I104" s="297"/>
      <c r="J104" s="297"/>
      <c r="K104" s="298"/>
      <c r="L104" s="61">
        <v>199</v>
      </c>
    </row>
    <row r="105" spans="1:12" x14ac:dyDescent="0.3">
      <c r="A105" s="277" t="s">
        <v>60</v>
      </c>
      <c r="B105" s="278"/>
      <c r="C105" s="278"/>
      <c r="D105" s="279"/>
      <c r="E105" s="62">
        <f>E104-E103</f>
        <v>166.32370757180155</v>
      </c>
      <c r="H105" s="277" t="s">
        <v>60</v>
      </c>
      <c r="I105" s="278"/>
      <c r="J105" s="278"/>
      <c r="K105" s="279"/>
      <c r="L105" s="62">
        <f>L104-L103</f>
        <v>176.10919117647057</v>
      </c>
    </row>
    <row r="106" spans="1:12" x14ac:dyDescent="0.3">
      <c r="A106" s="277" t="s">
        <v>61</v>
      </c>
      <c r="B106" s="278"/>
      <c r="C106" s="278"/>
      <c r="D106" s="279"/>
      <c r="E106" s="63">
        <f>E104*B93</f>
        <v>72387</v>
      </c>
      <c r="H106" s="277" t="s">
        <v>61</v>
      </c>
      <c r="I106" s="278"/>
      <c r="J106" s="278"/>
      <c r="K106" s="279"/>
      <c r="L106" s="63">
        <f>L104*I93</f>
        <v>54128</v>
      </c>
    </row>
    <row r="107" spans="1:12" ht="14.5" thickBot="1" x14ac:dyDescent="0.35">
      <c r="A107" s="280" t="s">
        <v>62</v>
      </c>
      <c r="B107" s="281"/>
      <c r="C107" s="281"/>
      <c r="D107" s="282"/>
      <c r="E107" s="77">
        <f>E106-D103</f>
        <v>63115.55</v>
      </c>
      <c r="H107" s="280" t="s">
        <v>62</v>
      </c>
      <c r="I107" s="281"/>
      <c r="J107" s="281"/>
      <c r="K107" s="282"/>
      <c r="L107" s="77">
        <f>L106-K103</f>
        <v>47283.08</v>
      </c>
    </row>
    <row r="109" spans="1:12" ht="14.5" thickBot="1" x14ac:dyDescent="0.35"/>
    <row r="110" spans="1:12" x14ac:dyDescent="0.3">
      <c r="A110" s="283" t="s">
        <v>136</v>
      </c>
      <c r="B110" s="284"/>
      <c r="C110" s="284"/>
      <c r="D110" s="284"/>
      <c r="E110" s="285"/>
    </row>
    <row r="111" spans="1:12" ht="14.5" thickBot="1" x14ac:dyDescent="0.35">
      <c r="A111" s="286"/>
      <c r="B111" s="287"/>
      <c r="C111" s="287"/>
      <c r="D111" s="287"/>
      <c r="E111" s="288"/>
    </row>
    <row r="112" spans="1:12" ht="14.5" thickBot="1" x14ac:dyDescent="0.35">
      <c r="A112" s="222" t="s">
        <v>35</v>
      </c>
      <c r="B112" s="223" t="s">
        <v>36</v>
      </c>
      <c r="C112" s="223" t="s">
        <v>37</v>
      </c>
      <c r="D112" s="223" t="s">
        <v>38</v>
      </c>
      <c r="E112" s="47" t="s">
        <v>58</v>
      </c>
    </row>
    <row r="113" spans="1:5" x14ac:dyDescent="0.3">
      <c r="A113" s="69" t="s">
        <v>94</v>
      </c>
      <c r="B113" s="70">
        <v>1</v>
      </c>
      <c r="C113" s="70">
        <v>725.88</v>
      </c>
      <c r="D113" s="70">
        <f>C113*B113</f>
        <v>725.88</v>
      </c>
      <c r="E113" s="71">
        <f>D113/B115</f>
        <v>1.5745770065075921</v>
      </c>
    </row>
    <row r="114" spans="1:5" x14ac:dyDescent="0.3">
      <c r="A114" s="69" t="s">
        <v>71</v>
      </c>
      <c r="B114" s="70">
        <v>1</v>
      </c>
      <c r="C114" s="70"/>
      <c r="D114" s="70">
        <v>348.8</v>
      </c>
      <c r="E114" s="71">
        <f>D114/B119</f>
        <v>0.75661605206073757</v>
      </c>
    </row>
    <row r="115" spans="1:5" x14ac:dyDescent="0.3">
      <c r="A115" s="52" t="s">
        <v>39</v>
      </c>
      <c r="B115" s="49">
        <v>461</v>
      </c>
      <c r="C115" s="76">
        <v>7</v>
      </c>
      <c r="D115" s="49">
        <f>C115*B115</f>
        <v>3227</v>
      </c>
      <c r="E115" s="53">
        <v>4.5</v>
      </c>
    </row>
    <row r="116" spans="1:5" x14ac:dyDescent="0.3">
      <c r="A116" s="52" t="s">
        <v>72</v>
      </c>
      <c r="B116" s="49">
        <v>461</v>
      </c>
      <c r="C116" s="49">
        <v>0</v>
      </c>
      <c r="D116" s="49">
        <f>C116*B116</f>
        <v>0</v>
      </c>
      <c r="E116" s="53">
        <v>0</v>
      </c>
    </row>
    <row r="117" spans="1:5" x14ac:dyDescent="0.3">
      <c r="A117" s="52" t="s">
        <v>97</v>
      </c>
      <c r="B117" s="49">
        <v>461</v>
      </c>
      <c r="C117" s="49">
        <v>0.5</v>
      </c>
      <c r="D117" s="49">
        <f>C117*B117</f>
        <v>230.5</v>
      </c>
      <c r="E117" s="53">
        <v>0.5</v>
      </c>
    </row>
    <row r="118" spans="1:5" x14ac:dyDescent="0.3">
      <c r="A118" s="52" t="s">
        <v>40</v>
      </c>
      <c r="B118" s="49">
        <v>461</v>
      </c>
      <c r="C118" s="76">
        <v>4</v>
      </c>
      <c r="D118" s="49">
        <f t="shared" ref="D118:D124" si="12">C118*B118</f>
        <v>1844</v>
      </c>
      <c r="E118" s="53">
        <f>C118</f>
        <v>4</v>
      </c>
    </row>
    <row r="119" spans="1:5" x14ac:dyDescent="0.3">
      <c r="A119" s="52" t="s">
        <v>95</v>
      </c>
      <c r="B119" s="49">
        <v>461</v>
      </c>
      <c r="C119" s="53">
        <v>2.5</v>
      </c>
      <c r="D119" s="49">
        <f t="shared" si="12"/>
        <v>1152.5</v>
      </c>
      <c r="E119" s="53">
        <v>2.5</v>
      </c>
    </row>
    <row r="120" spans="1:5" x14ac:dyDescent="0.3">
      <c r="A120" s="52" t="s">
        <v>63</v>
      </c>
      <c r="B120" s="49">
        <v>461</v>
      </c>
      <c r="C120" s="53">
        <v>2.33</v>
      </c>
      <c r="D120" s="49">
        <f t="shared" si="12"/>
        <v>1074.1300000000001</v>
      </c>
      <c r="E120" s="53">
        <v>2.33</v>
      </c>
    </row>
    <row r="121" spans="1:5" x14ac:dyDescent="0.3">
      <c r="A121" s="52" t="s">
        <v>77</v>
      </c>
      <c r="B121" s="49">
        <v>461</v>
      </c>
      <c r="C121" s="49">
        <v>0.75</v>
      </c>
      <c r="D121" s="49">
        <f t="shared" si="12"/>
        <v>345.75</v>
      </c>
      <c r="E121" s="53">
        <v>0.75</v>
      </c>
    </row>
    <row r="122" spans="1:5" x14ac:dyDescent="0.3">
      <c r="A122" s="52" t="s">
        <v>85</v>
      </c>
      <c r="B122" s="49">
        <v>461</v>
      </c>
      <c r="C122" s="49">
        <v>0.25</v>
      </c>
      <c r="D122" s="49">
        <f t="shared" si="12"/>
        <v>115.25</v>
      </c>
      <c r="E122" s="53">
        <v>0.25</v>
      </c>
    </row>
    <row r="123" spans="1:5" x14ac:dyDescent="0.3">
      <c r="A123" s="52" t="s">
        <v>88</v>
      </c>
      <c r="B123" s="49">
        <v>250</v>
      </c>
      <c r="C123" s="49">
        <v>0.79</v>
      </c>
      <c r="D123" s="49">
        <f t="shared" si="12"/>
        <v>197.5</v>
      </c>
      <c r="E123" s="53">
        <f>C123</f>
        <v>0.79</v>
      </c>
    </row>
    <row r="124" spans="1:5" x14ac:dyDescent="0.3">
      <c r="A124" s="52" t="s">
        <v>89</v>
      </c>
      <c r="B124" s="49">
        <v>250</v>
      </c>
      <c r="C124" s="76">
        <v>2</v>
      </c>
      <c r="D124" s="49">
        <f t="shared" si="12"/>
        <v>500</v>
      </c>
      <c r="E124" s="53">
        <f>C124</f>
        <v>2</v>
      </c>
    </row>
    <row r="125" spans="1:5" x14ac:dyDescent="0.3">
      <c r="A125" s="52" t="s">
        <v>145</v>
      </c>
      <c r="B125" s="49">
        <v>250</v>
      </c>
      <c r="C125" s="76"/>
      <c r="D125" s="49"/>
      <c r="E125" s="53"/>
    </row>
    <row r="126" spans="1:5" x14ac:dyDescent="0.3">
      <c r="A126" s="72" t="s">
        <v>41</v>
      </c>
      <c r="B126" s="73">
        <v>2</v>
      </c>
      <c r="C126" s="73"/>
      <c r="D126" s="73"/>
      <c r="E126" s="74"/>
    </row>
    <row r="127" spans="1:5" x14ac:dyDescent="0.3">
      <c r="A127" s="72" t="s">
        <v>42</v>
      </c>
      <c r="B127" s="73">
        <v>0</v>
      </c>
      <c r="C127" s="73"/>
      <c r="D127" s="73">
        <v>270.37</v>
      </c>
      <c r="E127" s="74">
        <f>D127/B119</f>
        <v>0.58648590021691971</v>
      </c>
    </row>
    <row r="128" spans="1:5" ht="14.5" thickBot="1" x14ac:dyDescent="0.35">
      <c r="A128" s="72" t="s">
        <v>43</v>
      </c>
      <c r="B128" s="73">
        <v>0</v>
      </c>
      <c r="C128" s="73"/>
      <c r="D128" s="73">
        <v>472</v>
      </c>
      <c r="E128" s="74">
        <f>D128/B119</f>
        <v>1.0238611713665944</v>
      </c>
    </row>
    <row r="129" spans="1:12" ht="14.5" thickBot="1" x14ac:dyDescent="0.35">
      <c r="A129" s="294" t="s">
        <v>44</v>
      </c>
      <c r="B129" s="295"/>
      <c r="C129" s="223">
        <f>SUM(C113:C128)</f>
        <v>746</v>
      </c>
      <c r="D129" s="223">
        <f>SUM(D113:D128)</f>
        <v>10503.680000000002</v>
      </c>
      <c r="E129" s="47">
        <f>SUM(E113:E128)</f>
        <v>21.561540130151844</v>
      </c>
    </row>
    <row r="130" spans="1:12" x14ac:dyDescent="0.3">
      <c r="A130" s="296" t="s">
        <v>59</v>
      </c>
      <c r="B130" s="297"/>
      <c r="C130" s="297"/>
      <c r="D130" s="298"/>
      <c r="E130" s="61">
        <v>189</v>
      </c>
    </row>
    <row r="131" spans="1:12" x14ac:dyDescent="0.3">
      <c r="A131" s="277" t="s">
        <v>60</v>
      </c>
      <c r="B131" s="278"/>
      <c r="C131" s="278"/>
      <c r="D131" s="279"/>
      <c r="E131" s="62">
        <f>E130-E129</f>
        <v>167.43845986984815</v>
      </c>
    </row>
    <row r="132" spans="1:12" x14ac:dyDescent="0.3">
      <c r="A132" s="277" t="s">
        <v>61</v>
      </c>
      <c r="B132" s="278"/>
      <c r="C132" s="278"/>
      <c r="D132" s="279"/>
      <c r="E132" s="63">
        <f>E130*B119</f>
        <v>87129</v>
      </c>
    </row>
    <row r="133" spans="1:12" ht="14.5" thickBot="1" x14ac:dyDescent="0.35">
      <c r="A133" s="280" t="s">
        <v>62</v>
      </c>
      <c r="B133" s="281"/>
      <c r="C133" s="281"/>
      <c r="D133" s="282"/>
      <c r="E133" s="77">
        <f>E132-D129</f>
        <v>76625.319999999992</v>
      </c>
    </row>
    <row r="139" spans="1:12" ht="14.5" thickBot="1" x14ac:dyDescent="0.35"/>
    <row r="140" spans="1:12" x14ac:dyDescent="0.3">
      <c r="A140" s="283" t="s">
        <v>174</v>
      </c>
      <c r="B140" s="284"/>
      <c r="C140" s="284"/>
      <c r="D140" s="284"/>
      <c r="E140" s="285"/>
      <c r="H140" s="283" t="s">
        <v>173</v>
      </c>
      <c r="I140" s="284"/>
      <c r="J140" s="284"/>
      <c r="K140" s="284"/>
      <c r="L140" s="285"/>
    </row>
    <row r="141" spans="1:12" ht="14.5" thickBot="1" x14ac:dyDescent="0.35">
      <c r="A141" s="286"/>
      <c r="B141" s="287"/>
      <c r="C141" s="287"/>
      <c r="D141" s="287"/>
      <c r="E141" s="288"/>
      <c r="H141" s="286"/>
      <c r="I141" s="287"/>
      <c r="J141" s="287"/>
      <c r="K141" s="287"/>
      <c r="L141" s="288"/>
    </row>
    <row r="142" spans="1:12" ht="14.5" thickBot="1" x14ac:dyDescent="0.35">
      <c r="A142" s="222" t="s">
        <v>35</v>
      </c>
      <c r="B142" s="223" t="s">
        <v>36</v>
      </c>
      <c r="C142" s="223" t="s">
        <v>37</v>
      </c>
      <c r="D142" s="223" t="s">
        <v>38</v>
      </c>
      <c r="E142" s="47" t="s">
        <v>58</v>
      </c>
      <c r="H142" s="222" t="s">
        <v>35</v>
      </c>
      <c r="I142" s="223" t="s">
        <v>36</v>
      </c>
      <c r="J142" s="223" t="s">
        <v>37</v>
      </c>
      <c r="K142" s="223" t="s">
        <v>38</v>
      </c>
      <c r="L142" s="47" t="s">
        <v>58</v>
      </c>
    </row>
    <row r="143" spans="1:12" x14ac:dyDescent="0.3">
      <c r="A143" s="69" t="s">
        <v>169</v>
      </c>
      <c r="B143" s="70" t="s">
        <v>180</v>
      </c>
      <c r="C143" s="70">
        <v>0.97</v>
      </c>
      <c r="D143" s="218">
        <v>487.37</v>
      </c>
      <c r="E143" s="71">
        <v>0.97</v>
      </c>
      <c r="H143" s="69" t="s">
        <v>177</v>
      </c>
      <c r="I143" s="70" t="s">
        <v>186</v>
      </c>
      <c r="J143" s="70">
        <v>0.35</v>
      </c>
      <c r="K143" s="218">
        <v>89.6</v>
      </c>
      <c r="L143" s="71">
        <v>0.35</v>
      </c>
    </row>
    <row r="144" spans="1:12" x14ac:dyDescent="0.3">
      <c r="A144" s="69" t="s">
        <v>168</v>
      </c>
      <c r="B144" s="70" t="s">
        <v>180</v>
      </c>
      <c r="C144" s="70">
        <v>0.54</v>
      </c>
      <c r="D144" s="218">
        <v>270.73</v>
      </c>
      <c r="E144" s="71">
        <v>0.54</v>
      </c>
      <c r="H144" s="69" t="s">
        <v>176</v>
      </c>
      <c r="I144" s="70" t="s">
        <v>185</v>
      </c>
      <c r="J144" s="70">
        <v>0.14000000000000001</v>
      </c>
      <c r="K144" s="218">
        <v>36.94</v>
      </c>
      <c r="L144" s="71">
        <v>0.14000000000000001</v>
      </c>
    </row>
    <row r="145" spans="1:12" x14ac:dyDescent="0.3">
      <c r="A145" s="69" t="s">
        <v>170</v>
      </c>
      <c r="B145" s="70" t="s">
        <v>181</v>
      </c>
      <c r="C145" s="70">
        <v>0.35</v>
      </c>
      <c r="D145" s="218">
        <v>176.85</v>
      </c>
      <c r="E145" s="71">
        <v>0.35</v>
      </c>
      <c r="H145" s="69" t="s">
        <v>175</v>
      </c>
      <c r="I145" s="70" t="s">
        <v>187</v>
      </c>
      <c r="J145" s="70">
        <v>0.1</v>
      </c>
      <c r="K145" s="218">
        <v>27.22</v>
      </c>
      <c r="L145" s="71">
        <v>0.1</v>
      </c>
    </row>
    <row r="146" spans="1:12" x14ac:dyDescent="0.3">
      <c r="A146" s="69" t="s">
        <v>179</v>
      </c>
      <c r="B146" s="70" t="s">
        <v>182</v>
      </c>
      <c r="C146" s="70">
        <v>0.38</v>
      </c>
      <c r="D146" s="218">
        <v>189.17</v>
      </c>
      <c r="E146" s="71">
        <v>0.38</v>
      </c>
      <c r="H146" s="52" t="s">
        <v>39</v>
      </c>
      <c r="I146" s="49">
        <v>750</v>
      </c>
      <c r="J146" s="49">
        <v>2</v>
      </c>
      <c r="K146" s="219">
        <f>J146*I146</f>
        <v>1500</v>
      </c>
      <c r="L146" s="53">
        <f>J146*3</f>
        <v>6</v>
      </c>
    </row>
    <row r="147" spans="1:12" x14ac:dyDescent="0.3">
      <c r="A147" s="69" t="s">
        <v>171</v>
      </c>
      <c r="B147" s="70" t="s">
        <v>184</v>
      </c>
      <c r="C147" s="70">
        <v>0.41</v>
      </c>
      <c r="D147" s="218">
        <v>203.53</v>
      </c>
      <c r="E147" s="71">
        <v>0.41</v>
      </c>
      <c r="H147" s="52" t="s">
        <v>97</v>
      </c>
      <c r="I147" s="49">
        <v>750</v>
      </c>
      <c r="J147" s="49">
        <v>0.5</v>
      </c>
      <c r="K147" s="219">
        <f>J147*I147</f>
        <v>375</v>
      </c>
      <c r="L147" s="53">
        <f>J147*3</f>
        <v>1.5</v>
      </c>
    </row>
    <row r="148" spans="1:12" x14ac:dyDescent="0.3">
      <c r="A148" s="69" t="s">
        <v>172</v>
      </c>
      <c r="B148" s="70" t="s">
        <v>183</v>
      </c>
      <c r="C148" s="70">
        <v>0.55000000000000004</v>
      </c>
      <c r="D148" s="218">
        <v>278.26</v>
      </c>
      <c r="E148" s="71">
        <v>0.55000000000000004</v>
      </c>
      <c r="H148" s="68" t="s">
        <v>40</v>
      </c>
      <c r="I148" s="76">
        <v>320</v>
      </c>
      <c r="J148" s="49">
        <v>2</v>
      </c>
      <c r="K148" s="219">
        <f t="shared" ref="K148:K149" si="13">J148*I148</f>
        <v>640</v>
      </c>
      <c r="L148" s="53">
        <f>J148</f>
        <v>2</v>
      </c>
    </row>
    <row r="149" spans="1:12" x14ac:dyDescent="0.3">
      <c r="A149" s="52" t="s">
        <v>39</v>
      </c>
      <c r="B149" s="49">
        <v>3000</v>
      </c>
      <c r="C149" s="49">
        <v>2</v>
      </c>
      <c r="D149" s="219">
        <f>C149*B149</f>
        <v>6000</v>
      </c>
      <c r="E149" s="53">
        <f>C149*6</f>
        <v>12</v>
      </c>
      <c r="H149" s="52" t="s">
        <v>178</v>
      </c>
      <c r="I149" s="49">
        <v>750</v>
      </c>
      <c r="J149" s="53">
        <v>0.79</v>
      </c>
      <c r="K149" s="219">
        <f t="shared" si="13"/>
        <v>592.5</v>
      </c>
      <c r="L149" s="53">
        <f>J149*3</f>
        <v>2.37</v>
      </c>
    </row>
    <row r="150" spans="1:12" x14ac:dyDescent="0.3">
      <c r="A150" s="52" t="s">
        <v>97</v>
      </c>
      <c r="B150" s="49">
        <v>1000</v>
      </c>
      <c r="C150" s="49">
        <v>0.5</v>
      </c>
      <c r="D150" s="219">
        <f>C150*B150</f>
        <v>500</v>
      </c>
      <c r="E150" s="53">
        <f>C150*2</f>
        <v>1</v>
      </c>
      <c r="H150" s="52"/>
      <c r="I150" s="49"/>
      <c r="J150" s="49"/>
      <c r="K150" s="219"/>
      <c r="L150" s="53"/>
    </row>
    <row r="151" spans="1:12" x14ac:dyDescent="0.3">
      <c r="A151" s="68" t="s">
        <v>40</v>
      </c>
      <c r="B151" s="76">
        <v>560</v>
      </c>
      <c r="C151" s="49">
        <v>2</v>
      </c>
      <c r="D151" s="219">
        <f t="shared" ref="D151:D152" si="14">C151*B151</f>
        <v>1120</v>
      </c>
      <c r="E151" s="53">
        <f>C151</f>
        <v>2</v>
      </c>
      <c r="H151" s="52"/>
      <c r="I151" s="49"/>
      <c r="J151" s="49"/>
      <c r="K151" s="219"/>
      <c r="L151" s="53"/>
    </row>
    <row r="152" spans="1:12" x14ac:dyDescent="0.3">
      <c r="A152" s="52" t="s">
        <v>178</v>
      </c>
      <c r="B152" s="49">
        <v>1000</v>
      </c>
      <c r="C152" s="53">
        <v>0.79</v>
      </c>
      <c r="D152" s="219">
        <f t="shared" si="14"/>
        <v>790</v>
      </c>
      <c r="E152" s="53">
        <f>C152*2</f>
        <v>1.58</v>
      </c>
      <c r="H152" s="52"/>
      <c r="I152" s="49"/>
      <c r="J152" s="53"/>
      <c r="K152" s="219"/>
      <c r="L152" s="53"/>
    </row>
    <row r="153" spans="1:12" x14ac:dyDescent="0.3">
      <c r="A153" s="72" t="s">
        <v>41</v>
      </c>
      <c r="B153" s="73">
        <v>2</v>
      </c>
      <c r="C153" s="73"/>
      <c r="D153" s="220"/>
      <c r="E153" s="74"/>
      <c r="H153" s="72" t="s">
        <v>41</v>
      </c>
      <c r="I153" s="73">
        <v>2</v>
      </c>
      <c r="J153" s="73"/>
      <c r="K153" s="220"/>
      <c r="L153" s="74"/>
    </row>
    <row r="154" spans="1:12" x14ac:dyDescent="0.3">
      <c r="A154" s="72" t="s">
        <v>42</v>
      </c>
      <c r="B154" s="73">
        <v>0</v>
      </c>
      <c r="C154" s="73"/>
      <c r="D154" s="220"/>
      <c r="E154" s="74">
        <f>D154/B152</f>
        <v>0</v>
      </c>
      <c r="H154" s="72" t="s">
        <v>42</v>
      </c>
      <c r="I154" s="73">
        <v>0</v>
      </c>
      <c r="J154" s="73"/>
      <c r="K154" s="220"/>
      <c r="L154" s="74"/>
    </row>
    <row r="155" spans="1:12" ht="14.5" thickBot="1" x14ac:dyDescent="0.35">
      <c r="A155" s="72" t="s">
        <v>43</v>
      </c>
      <c r="B155" s="73">
        <v>0</v>
      </c>
      <c r="C155" s="73"/>
      <c r="D155" s="220"/>
      <c r="E155" s="74"/>
      <c r="H155" s="72" t="s">
        <v>43</v>
      </c>
      <c r="I155" s="73">
        <v>0</v>
      </c>
      <c r="J155" s="73"/>
      <c r="K155" s="220"/>
      <c r="L155" s="74"/>
    </row>
    <row r="156" spans="1:12" ht="14.5" thickBot="1" x14ac:dyDescent="0.35">
      <c r="A156" s="289" t="s">
        <v>44</v>
      </c>
      <c r="B156" s="290"/>
      <c r="C156" s="223">
        <f>SUM(C143:C155)</f>
        <v>8.49</v>
      </c>
      <c r="D156" s="221">
        <f>SUM(D143:D155)</f>
        <v>10015.91</v>
      </c>
      <c r="E156" s="47">
        <f>SUM(E143:E155)</f>
        <v>19.78</v>
      </c>
      <c r="H156" s="289" t="s">
        <v>44</v>
      </c>
      <c r="I156" s="290"/>
      <c r="J156" s="223">
        <f>SUM(J143:J155)</f>
        <v>5.88</v>
      </c>
      <c r="K156" s="221">
        <f>SUM(K143:K155)</f>
        <v>3261.26</v>
      </c>
      <c r="L156" s="47">
        <f>SUM(L143:L155)</f>
        <v>12.46</v>
      </c>
    </row>
    <row r="157" spans="1:12" x14ac:dyDescent="0.3">
      <c r="A157" s="291" t="s">
        <v>59</v>
      </c>
      <c r="B157" s="292"/>
      <c r="C157" s="292"/>
      <c r="D157" s="293"/>
      <c r="E157" s="61"/>
      <c r="H157" s="291" t="s">
        <v>59</v>
      </c>
      <c r="I157" s="292"/>
      <c r="J157" s="292"/>
      <c r="K157" s="293"/>
      <c r="L157" s="61"/>
    </row>
    <row r="158" spans="1:12" x14ac:dyDescent="0.3">
      <c r="A158" s="277" t="s">
        <v>60</v>
      </c>
      <c r="B158" s="278"/>
      <c r="C158" s="278"/>
      <c r="D158" s="279"/>
      <c r="E158" s="62"/>
      <c r="H158" s="277" t="s">
        <v>60</v>
      </c>
      <c r="I158" s="278"/>
      <c r="J158" s="278"/>
      <c r="K158" s="279"/>
      <c r="L158" s="62"/>
    </row>
    <row r="159" spans="1:12" x14ac:dyDescent="0.3">
      <c r="A159" s="277" t="s">
        <v>61</v>
      </c>
      <c r="B159" s="278"/>
      <c r="C159" s="278"/>
      <c r="D159" s="279"/>
      <c r="E159" s="63">
        <f>E157*B152</f>
        <v>0</v>
      </c>
      <c r="H159" s="277" t="s">
        <v>61</v>
      </c>
      <c r="I159" s="278"/>
      <c r="J159" s="278"/>
      <c r="K159" s="279"/>
      <c r="L159" s="63">
        <f>L157*I152</f>
        <v>0</v>
      </c>
    </row>
    <row r="160" spans="1:12" ht="14.5" thickBot="1" x14ac:dyDescent="0.35">
      <c r="A160" s="280" t="s">
        <v>62</v>
      </c>
      <c r="B160" s="281"/>
      <c r="C160" s="281"/>
      <c r="D160" s="282"/>
      <c r="E160" s="77"/>
      <c r="H160" s="280" t="s">
        <v>62</v>
      </c>
      <c r="I160" s="281"/>
      <c r="J160" s="281"/>
      <c r="K160" s="282"/>
      <c r="L160" s="77"/>
    </row>
  </sheetData>
  <mergeCells count="67">
    <mergeCell ref="A22:D22"/>
    <mergeCell ref="C1:J2"/>
    <mergeCell ref="A4:E5"/>
    <mergeCell ref="H4:L5"/>
    <mergeCell ref="A20:B20"/>
    <mergeCell ref="A21:D21"/>
    <mergeCell ref="A49:D49"/>
    <mergeCell ref="H49:K49"/>
    <mergeCell ref="A23:D23"/>
    <mergeCell ref="H23:I23"/>
    <mergeCell ref="A24:D24"/>
    <mergeCell ref="H24:K24"/>
    <mergeCell ref="H25:K25"/>
    <mergeCell ref="H26:K26"/>
    <mergeCell ref="H27:K27"/>
    <mergeCell ref="A29:E30"/>
    <mergeCell ref="H29:L30"/>
    <mergeCell ref="A48:B48"/>
    <mergeCell ref="H48:I48"/>
    <mergeCell ref="A50:D50"/>
    <mergeCell ref="H50:K50"/>
    <mergeCell ref="A51:D51"/>
    <mergeCell ref="H51:K51"/>
    <mergeCell ref="A52:D52"/>
    <mergeCell ref="H52:K52"/>
    <mergeCell ref="A57:E58"/>
    <mergeCell ref="H57:L58"/>
    <mergeCell ref="A77:B77"/>
    <mergeCell ref="H77:I77"/>
    <mergeCell ref="A78:D78"/>
    <mergeCell ref="H78:K78"/>
    <mergeCell ref="A79:D79"/>
    <mergeCell ref="H79:K79"/>
    <mergeCell ref="A80:D80"/>
    <mergeCell ref="H80:K80"/>
    <mergeCell ref="A81:D81"/>
    <mergeCell ref="H81:K81"/>
    <mergeCell ref="A84:E85"/>
    <mergeCell ref="H84:L85"/>
    <mergeCell ref="A103:B103"/>
    <mergeCell ref="H103:I103"/>
    <mergeCell ref="A104:D104"/>
    <mergeCell ref="H104:K104"/>
    <mergeCell ref="A133:D133"/>
    <mergeCell ref="A105:D105"/>
    <mergeCell ref="H105:K105"/>
    <mergeCell ref="A106:D106"/>
    <mergeCell ref="H106:K106"/>
    <mergeCell ref="A107:D107"/>
    <mergeCell ref="H107:K107"/>
    <mergeCell ref="A110:E111"/>
    <mergeCell ref="A129:B129"/>
    <mergeCell ref="A130:D130"/>
    <mergeCell ref="A131:D131"/>
    <mergeCell ref="A132:D132"/>
    <mergeCell ref="A140:E141"/>
    <mergeCell ref="H140:L141"/>
    <mergeCell ref="A156:B156"/>
    <mergeCell ref="H156:I156"/>
    <mergeCell ref="A157:D157"/>
    <mergeCell ref="H157:K157"/>
    <mergeCell ref="A158:D158"/>
    <mergeCell ref="H158:K158"/>
    <mergeCell ref="A159:D159"/>
    <mergeCell ref="H159:K159"/>
    <mergeCell ref="A160:D160"/>
    <mergeCell ref="H160:K1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8A86-43D1-4DBE-9837-5F7C81EB6BFC}">
  <dimension ref="A1:L172"/>
  <sheetViews>
    <sheetView rightToLeft="1" topLeftCell="A82" zoomScaleNormal="100" workbookViewId="0">
      <selection activeCell="D55" sqref="D55"/>
    </sheetView>
  </sheetViews>
  <sheetFormatPr defaultRowHeight="14" x14ac:dyDescent="0.3"/>
  <cols>
    <col min="1" max="1" width="17.83203125" bestFit="1" customWidth="1"/>
    <col min="2" max="2" width="9.1640625" customWidth="1"/>
    <col min="3" max="3" width="10.83203125" customWidth="1"/>
    <col min="4" max="4" width="10.4140625" customWidth="1"/>
    <col min="5" max="5" width="13.9140625" customWidth="1"/>
    <col min="6" max="6" width="4.6640625" customWidth="1"/>
    <col min="7" max="7" width="6.6640625" customWidth="1"/>
    <col min="8" max="8" width="21" customWidth="1"/>
    <col min="9" max="9" width="10.4140625" customWidth="1"/>
    <col min="11" max="11" width="10.83203125" customWidth="1"/>
    <col min="12" max="12" width="17.33203125" customWidth="1"/>
  </cols>
  <sheetData>
    <row r="1" spans="1:12" ht="13.75" customHeight="1" x14ac:dyDescent="0.3">
      <c r="C1" s="323" t="s">
        <v>82</v>
      </c>
      <c r="D1" s="324"/>
      <c r="E1" s="324"/>
      <c r="F1" s="324"/>
      <c r="G1" s="324"/>
      <c r="H1" s="324"/>
      <c r="I1" s="324"/>
      <c r="J1" s="325"/>
    </row>
    <row r="2" spans="1:12" ht="14.4" customHeight="1" thickBot="1" x14ac:dyDescent="0.35">
      <c r="C2" s="326"/>
      <c r="D2" s="327"/>
      <c r="E2" s="327"/>
      <c r="F2" s="327"/>
      <c r="G2" s="327"/>
      <c r="H2" s="327"/>
      <c r="I2" s="327"/>
      <c r="J2" s="328"/>
    </row>
    <row r="3" spans="1:12" ht="14.5" thickBot="1" x14ac:dyDescent="0.35"/>
    <row r="4" spans="1:12" x14ac:dyDescent="0.3">
      <c r="A4" s="299" t="s">
        <v>134</v>
      </c>
      <c r="B4" s="300"/>
      <c r="C4" s="300"/>
      <c r="D4" s="300"/>
      <c r="E4" s="301"/>
      <c r="H4" s="283" t="s">
        <v>126</v>
      </c>
      <c r="I4" s="284"/>
      <c r="J4" s="284"/>
      <c r="K4" s="284"/>
      <c r="L4" s="285"/>
    </row>
    <row r="5" spans="1:12" ht="14.5" thickBot="1" x14ac:dyDescent="0.35">
      <c r="A5" s="302"/>
      <c r="B5" s="303"/>
      <c r="C5" s="303"/>
      <c r="D5" s="303"/>
      <c r="E5" s="304"/>
      <c r="H5" s="286"/>
      <c r="I5" s="287"/>
      <c r="J5" s="287"/>
      <c r="K5" s="287"/>
      <c r="L5" s="288"/>
    </row>
    <row r="6" spans="1:12" ht="14.5" thickBot="1" x14ac:dyDescent="0.35">
      <c r="A6" s="222" t="s">
        <v>35</v>
      </c>
      <c r="B6" s="223" t="s">
        <v>36</v>
      </c>
      <c r="C6" s="223" t="s">
        <v>37</v>
      </c>
      <c r="D6" s="223" t="s">
        <v>38</v>
      </c>
      <c r="E6" s="47" t="s">
        <v>58</v>
      </c>
      <c r="H6" s="222" t="s">
        <v>35</v>
      </c>
      <c r="I6" s="223" t="s">
        <v>36</v>
      </c>
      <c r="J6" s="223" t="s">
        <v>37</v>
      </c>
      <c r="K6" s="223" t="s">
        <v>38</v>
      </c>
      <c r="L6" s="47" t="s">
        <v>58</v>
      </c>
    </row>
    <row r="7" spans="1:12" x14ac:dyDescent="0.3">
      <c r="A7" s="50" t="s">
        <v>57</v>
      </c>
      <c r="B7" s="48">
        <v>5</v>
      </c>
      <c r="C7" s="48">
        <v>1433.66</v>
      </c>
      <c r="D7" s="48">
        <f>C7*B7</f>
        <v>7168.3</v>
      </c>
      <c r="E7" s="51">
        <f>D7/B12</f>
        <v>20.023184357541901</v>
      </c>
      <c r="H7" s="69" t="s">
        <v>68</v>
      </c>
      <c r="I7" s="70">
        <v>4</v>
      </c>
      <c r="J7" s="70">
        <v>945.85</v>
      </c>
      <c r="K7" s="70">
        <f>J7*I7</f>
        <v>3783.4</v>
      </c>
      <c r="L7" s="71">
        <f>K7/I9</f>
        <v>9.676214833759591</v>
      </c>
    </row>
    <row r="8" spans="1:12" x14ac:dyDescent="0.3">
      <c r="A8" s="52" t="s">
        <v>39</v>
      </c>
      <c r="B8" s="49">
        <v>358</v>
      </c>
      <c r="C8" s="76">
        <v>8</v>
      </c>
      <c r="D8" s="49">
        <f>C8*B8</f>
        <v>2864</v>
      </c>
      <c r="E8" s="53">
        <v>4.5</v>
      </c>
      <c r="H8" s="69" t="s">
        <v>71</v>
      </c>
      <c r="I8" s="70">
        <v>1</v>
      </c>
      <c r="J8" s="70"/>
      <c r="K8" s="70">
        <v>348.8</v>
      </c>
      <c r="L8" s="71">
        <f>K8/I10</f>
        <v>0.89207161125319701</v>
      </c>
    </row>
    <row r="9" spans="1:12" x14ac:dyDescent="0.3">
      <c r="A9" s="52" t="s">
        <v>72</v>
      </c>
      <c r="B9" s="49">
        <v>358</v>
      </c>
      <c r="C9" s="49">
        <v>0</v>
      </c>
      <c r="D9" s="49">
        <f>C9*B9</f>
        <v>0</v>
      </c>
      <c r="E9" s="53">
        <v>0</v>
      </c>
      <c r="H9" s="52" t="s">
        <v>39</v>
      </c>
      <c r="I9" s="49">
        <v>391</v>
      </c>
      <c r="J9" s="76">
        <v>8</v>
      </c>
      <c r="K9" s="49">
        <f t="shared" ref="K9:K19" si="0">J9*I9</f>
        <v>3128</v>
      </c>
      <c r="L9" s="53">
        <v>4.5</v>
      </c>
    </row>
    <row r="10" spans="1:12" x14ac:dyDescent="0.3">
      <c r="A10" s="52" t="s">
        <v>40</v>
      </c>
      <c r="B10" s="49">
        <v>358</v>
      </c>
      <c r="C10" s="49">
        <v>0</v>
      </c>
      <c r="D10" s="49">
        <f>C10*B10</f>
        <v>0</v>
      </c>
      <c r="E10" s="53">
        <v>0</v>
      </c>
      <c r="H10" s="52" t="s">
        <v>72</v>
      </c>
      <c r="I10" s="49">
        <v>391</v>
      </c>
      <c r="J10" s="49">
        <v>0</v>
      </c>
      <c r="K10" s="49">
        <f t="shared" si="0"/>
        <v>0</v>
      </c>
      <c r="L10" s="53">
        <v>0</v>
      </c>
    </row>
    <row r="11" spans="1:12" x14ac:dyDescent="0.3">
      <c r="A11" s="52" t="s">
        <v>63</v>
      </c>
      <c r="B11" s="49">
        <v>358</v>
      </c>
      <c r="C11" s="49">
        <v>0</v>
      </c>
      <c r="D11" s="49">
        <f>C11*B11</f>
        <v>0</v>
      </c>
      <c r="E11" s="53">
        <v>0</v>
      </c>
      <c r="H11" s="52" t="s">
        <v>40</v>
      </c>
      <c r="I11" s="49">
        <v>391</v>
      </c>
      <c r="J11" s="49">
        <v>0</v>
      </c>
      <c r="K11" s="49">
        <v>0</v>
      </c>
      <c r="L11" s="53">
        <v>0</v>
      </c>
    </row>
    <row r="12" spans="1:12" x14ac:dyDescent="0.3">
      <c r="A12" s="52" t="s">
        <v>69</v>
      </c>
      <c r="B12" s="49">
        <v>358</v>
      </c>
      <c r="C12" s="49">
        <v>0</v>
      </c>
      <c r="D12" s="49">
        <f t="shared" ref="D12:D14" si="1">C12*B12</f>
        <v>0</v>
      </c>
      <c r="E12" s="53">
        <v>0</v>
      </c>
      <c r="H12" s="52" t="s">
        <v>69</v>
      </c>
      <c r="I12" s="49">
        <v>391</v>
      </c>
      <c r="J12" s="49">
        <v>0</v>
      </c>
      <c r="K12" s="49">
        <f t="shared" si="0"/>
        <v>0</v>
      </c>
      <c r="L12" s="53">
        <v>0</v>
      </c>
    </row>
    <row r="13" spans="1:12" x14ac:dyDescent="0.3">
      <c r="A13" s="52" t="s">
        <v>85</v>
      </c>
      <c r="B13" s="49">
        <v>358</v>
      </c>
      <c r="C13" s="49">
        <v>0.25</v>
      </c>
      <c r="D13" s="49">
        <f t="shared" si="1"/>
        <v>89.5</v>
      </c>
      <c r="E13" s="53">
        <v>0.25</v>
      </c>
      <c r="H13" s="52" t="s">
        <v>85</v>
      </c>
      <c r="I13" s="49">
        <v>391</v>
      </c>
      <c r="J13" s="49">
        <v>0.25</v>
      </c>
      <c r="K13" s="49">
        <f t="shared" si="0"/>
        <v>97.75</v>
      </c>
      <c r="L13" s="53">
        <v>0.25</v>
      </c>
    </row>
    <row r="14" spans="1:12" x14ac:dyDescent="0.3">
      <c r="A14" s="52" t="s">
        <v>86</v>
      </c>
      <c r="B14" s="49">
        <v>358</v>
      </c>
      <c r="C14" s="49">
        <v>0</v>
      </c>
      <c r="D14" s="49">
        <f t="shared" si="1"/>
        <v>0</v>
      </c>
      <c r="E14" s="53">
        <v>0</v>
      </c>
      <c r="H14" s="52" t="s">
        <v>87</v>
      </c>
      <c r="I14" s="49">
        <v>391</v>
      </c>
      <c r="J14" s="49">
        <v>0</v>
      </c>
      <c r="K14" s="49">
        <f t="shared" si="0"/>
        <v>0</v>
      </c>
      <c r="L14" s="53">
        <v>0</v>
      </c>
    </row>
    <row r="15" spans="1:12" x14ac:dyDescent="0.3">
      <c r="A15" s="52" t="s">
        <v>77</v>
      </c>
      <c r="B15" s="49">
        <v>358</v>
      </c>
      <c r="C15" s="49">
        <v>0.75</v>
      </c>
      <c r="D15" s="49">
        <f>B15*C15</f>
        <v>268.5</v>
      </c>
      <c r="E15" s="53">
        <v>0.75</v>
      </c>
      <c r="H15" s="52" t="s">
        <v>63</v>
      </c>
      <c r="I15" s="49">
        <v>391</v>
      </c>
      <c r="J15" s="49">
        <v>0</v>
      </c>
      <c r="K15" s="49">
        <v>0</v>
      </c>
      <c r="L15" s="53">
        <v>0</v>
      </c>
    </row>
    <row r="16" spans="1:12" x14ac:dyDescent="0.3">
      <c r="A16" s="52" t="s">
        <v>88</v>
      </c>
      <c r="B16" s="49">
        <v>500</v>
      </c>
      <c r="C16" s="49">
        <v>0</v>
      </c>
      <c r="D16" s="49">
        <v>0</v>
      </c>
      <c r="E16" s="53">
        <v>0</v>
      </c>
      <c r="H16" s="52" t="s">
        <v>78</v>
      </c>
      <c r="I16" s="49">
        <v>391</v>
      </c>
      <c r="J16" s="49">
        <v>0.75</v>
      </c>
      <c r="K16" s="49">
        <f t="shared" si="0"/>
        <v>293.25</v>
      </c>
      <c r="L16" s="53">
        <v>0.75</v>
      </c>
    </row>
    <row r="17" spans="1:12" x14ac:dyDescent="0.3">
      <c r="A17" s="52" t="s">
        <v>89</v>
      </c>
      <c r="B17" s="49">
        <v>500</v>
      </c>
      <c r="C17" s="49">
        <v>2</v>
      </c>
      <c r="D17" s="49">
        <f>C17*B17</f>
        <v>1000</v>
      </c>
      <c r="E17" s="53">
        <f>C17</f>
        <v>2</v>
      </c>
      <c r="H17" s="52" t="s">
        <v>91</v>
      </c>
      <c r="I17" s="49">
        <v>500</v>
      </c>
      <c r="J17" s="49">
        <v>0</v>
      </c>
      <c r="K17" s="49">
        <f t="shared" si="0"/>
        <v>0</v>
      </c>
      <c r="L17" s="53">
        <v>0</v>
      </c>
    </row>
    <row r="18" spans="1:12" x14ac:dyDescent="0.3">
      <c r="A18" s="52" t="s">
        <v>145</v>
      </c>
      <c r="B18" s="49">
        <v>500</v>
      </c>
      <c r="C18" s="49"/>
      <c r="D18" s="49"/>
      <c r="E18" s="53"/>
      <c r="H18" s="52" t="s">
        <v>145</v>
      </c>
      <c r="I18" s="49">
        <v>500</v>
      </c>
      <c r="J18" s="49"/>
      <c r="K18" s="49"/>
      <c r="L18" s="53"/>
    </row>
    <row r="19" spans="1:12" ht="14.5" thickBot="1" x14ac:dyDescent="0.35">
      <c r="A19" s="52" t="s">
        <v>90</v>
      </c>
      <c r="B19" s="49"/>
      <c r="C19" s="49"/>
      <c r="D19" s="49"/>
      <c r="E19" s="53"/>
      <c r="H19" s="52" t="s">
        <v>89</v>
      </c>
      <c r="I19" s="49">
        <v>500</v>
      </c>
      <c r="J19" s="76">
        <v>2</v>
      </c>
      <c r="K19" s="49">
        <f t="shared" si="0"/>
        <v>1000</v>
      </c>
      <c r="L19" s="53">
        <f>J19</f>
        <v>2</v>
      </c>
    </row>
    <row r="20" spans="1:12" ht="14.5" thickBot="1" x14ac:dyDescent="0.35">
      <c r="A20" s="289" t="s">
        <v>44</v>
      </c>
      <c r="B20" s="290"/>
      <c r="C20" s="223">
        <f>SUM(C7:C17)</f>
        <v>1444.66</v>
      </c>
      <c r="D20" s="223">
        <f>SUM(D7:D19)</f>
        <v>11390.3</v>
      </c>
      <c r="E20" s="47">
        <f>SUM(E7:E19)</f>
        <v>27.523184357541901</v>
      </c>
      <c r="H20" s="72" t="s">
        <v>81</v>
      </c>
      <c r="I20" s="73"/>
      <c r="J20" s="73"/>
      <c r="K20" s="73"/>
      <c r="L20" s="74"/>
    </row>
    <row r="21" spans="1:12" x14ac:dyDescent="0.3">
      <c r="A21" s="291" t="s">
        <v>59</v>
      </c>
      <c r="B21" s="292"/>
      <c r="C21" s="292"/>
      <c r="D21" s="293"/>
      <c r="E21" s="65">
        <v>309</v>
      </c>
      <c r="H21" s="72" t="s">
        <v>42</v>
      </c>
      <c r="I21" s="73"/>
      <c r="J21" s="73"/>
      <c r="K21" s="70">
        <v>271.10000000000002</v>
      </c>
      <c r="L21" s="74">
        <f>K21/I12</f>
        <v>0.69335038363171364</v>
      </c>
    </row>
    <row r="22" spans="1:12" ht="14.5" thickBot="1" x14ac:dyDescent="0.35">
      <c r="A22" s="314" t="s">
        <v>60</v>
      </c>
      <c r="B22" s="315"/>
      <c r="C22" s="315"/>
      <c r="D22" s="316"/>
      <c r="E22" s="63">
        <f>E21-E20</f>
        <v>281.47681564245812</v>
      </c>
      <c r="H22" s="72" t="s">
        <v>43</v>
      </c>
      <c r="I22" s="73"/>
      <c r="J22" s="73"/>
      <c r="K22" s="70">
        <v>472</v>
      </c>
      <c r="L22" s="74">
        <f>K22/I12</f>
        <v>1.207161125319693</v>
      </c>
    </row>
    <row r="23" spans="1:12" ht="14.5" thickBot="1" x14ac:dyDescent="0.35">
      <c r="A23" s="314" t="s">
        <v>61</v>
      </c>
      <c r="B23" s="315"/>
      <c r="C23" s="315"/>
      <c r="D23" s="316"/>
      <c r="E23" s="63">
        <f>E21*B8</f>
        <v>110622</v>
      </c>
      <c r="H23" s="289" t="s">
        <v>44</v>
      </c>
      <c r="I23" s="290"/>
      <c r="J23" s="223">
        <f>SUM(J7:J22)</f>
        <v>956.85</v>
      </c>
      <c r="K23" s="223">
        <f>SUM(K7:K22)</f>
        <v>9394.3000000000011</v>
      </c>
      <c r="L23" s="47">
        <f>SUM(L7:L22)</f>
        <v>19.968797953964195</v>
      </c>
    </row>
    <row r="24" spans="1:12" ht="14.5" thickBot="1" x14ac:dyDescent="0.35">
      <c r="A24" s="320" t="s">
        <v>62</v>
      </c>
      <c r="B24" s="321"/>
      <c r="C24" s="321"/>
      <c r="D24" s="322"/>
      <c r="E24" s="64">
        <f>E23-D20</f>
        <v>99231.7</v>
      </c>
      <c r="H24" s="291" t="s">
        <v>59</v>
      </c>
      <c r="I24" s="292"/>
      <c r="J24" s="292"/>
      <c r="K24" s="293"/>
      <c r="L24" s="61">
        <v>429</v>
      </c>
    </row>
    <row r="25" spans="1:12" x14ac:dyDescent="0.3">
      <c r="H25" s="314" t="s">
        <v>60</v>
      </c>
      <c r="I25" s="315"/>
      <c r="J25" s="315"/>
      <c r="K25" s="316"/>
      <c r="L25" s="62">
        <f>L24-L23</f>
        <v>409.03120204603579</v>
      </c>
    </row>
    <row r="26" spans="1:12" x14ac:dyDescent="0.3">
      <c r="H26" s="314" t="s">
        <v>61</v>
      </c>
      <c r="I26" s="315"/>
      <c r="J26" s="315"/>
      <c r="K26" s="316"/>
      <c r="L26" s="63">
        <f>L24*I12</f>
        <v>167739</v>
      </c>
    </row>
    <row r="27" spans="1:12" ht="14.5" thickBot="1" x14ac:dyDescent="0.35">
      <c r="H27" s="320" t="s">
        <v>62</v>
      </c>
      <c r="I27" s="321"/>
      <c r="J27" s="321"/>
      <c r="K27" s="322"/>
      <c r="L27" s="64">
        <f>L26-K23</f>
        <v>158344.70000000001</v>
      </c>
    </row>
    <row r="28" spans="1:12" ht="14.5" thickBot="1" x14ac:dyDescent="0.35"/>
    <row r="29" spans="1:12" x14ac:dyDescent="0.3">
      <c r="A29" s="283" t="s">
        <v>129</v>
      </c>
      <c r="B29" s="284"/>
      <c r="C29" s="284"/>
      <c r="D29" s="284"/>
      <c r="E29" s="285"/>
      <c r="H29" s="283" t="s">
        <v>128</v>
      </c>
      <c r="I29" s="284"/>
      <c r="J29" s="284"/>
      <c r="K29" s="284"/>
      <c r="L29" s="285"/>
    </row>
    <row r="30" spans="1:12" ht="14.5" thickBot="1" x14ac:dyDescent="0.35">
      <c r="A30" s="286"/>
      <c r="B30" s="287"/>
      <c r="C30" s="287"/>
      <c r="D30" s="287"/>
      <c r="E30" s="288"/>
      <c r="H30" s="286"/>
      <c r="I30" s="287"/>
      <c r="J30" s="287"/>
      <c r="K30" s="287"/>
      <c r="L30" s="288"/>
    </row>
    <row r="31" spans="1:12" ht="14.5" thickBot="1" x14ac:dyDescent="0.35">
      <c r="A31" s="222" t="s">
        <v>35</v>
      </c>
      <c r="B31" s="223" t="s">
        <v>36</v>
      </c>
      <c r="C31" s="223" t="s">
        <v>37</v>
      </c>
      <c r="D31" s="223" t="s">
        <v>38</v>
      </c>
      <c r="E31" s="47" t="s">
        <v>58</v>
      </c>
      <c r="H31" s="222" t="s">
        <v>35</v>
      </c>
      <c r="I31" s="223" t="s">
        <v>36</v>
      </c>
      <c r="J31" s="223" t="s">
        <v>37</v>
      </c>
      <c r="K31" s="223" t="s">
        <v>38</v>
      </c>
      <c r="L31" s="47" t="s">
        <v>58</v>
      </c>
    </row>
    <row r="32" spans="1:12" x14ac:dyDescent="0.3">
      <c r="A32" s="69" t="s">
        <v>70</v>
      </c>
      <c r="B32" s="70">
        <v>5</v>
      </c>
      <c r="C32" s="70">
        <v>589.51</v>
      </c>
      <c r="D32" s="70">
        <f>C32*B32</f>
        <v>2947.55</v>
      </c>
      <c r="E32" s="71">
        <f>D32/B37</f>
        <v>9.3573015873015883</v>
      </c>
      <c r="H32" s="69" t="s">
        <v>76</v>
      </c>
      <c r="I32" s="70">
        <v>6</v>
      </c>
      <c r="J32" s="70">
        <v>796.27</v>
      </c>
      <c r="K32" s="70">
        <f>J32*I32</f>
        <v>4777.62</v>
      </c>
      <c r="L32" s="71">
        <f>K32/I34</f>
        <v>13.496101694915254</v>
      </c>
    </row>
    <row r="33" spans="1:12" x14ac:dyDescent="0.3">
      <c r="A33" s="69" t="s">
        <v>71</v>
      </c>
      <c r="B33" s="70">
        <v>1</v>
      </c>
      <c r="C33" s="70"/>
      <c r="D33" s="70">
        <v>348.8</v>
      </c>
      <c r="E33" s="71">
        <f>D33/B37</f>
        <v>1.1073015873015872</v>
      </c>
      <c r="H33" s="69" t="s">
        <v>71</v>
      </c>
      <c r="I33" s="70">
        <v>1</v>
      </c>
      <c r="J33" s="70"/>
      <c r="K33" s="70">
        <v>348.8</v>
      </c>
      <c r="L33" s="71">
        <f>K33/I35</f>
        <v>0.98531073446327688</v>
      </c>
    </row>
    <row r="34" spans="1:12" x14ac:dyDescent="0.3">
      <c r="A34" s="52" t="s">
        <v>39</v>
      </c>
      <c r="B34" s="49">
        <v>315</v>
      </c>
      <c r="C34" s="76">
        <v>8</v>
      </c>
      <c r="D34" s="49">
        <f t="shared" ref="D34" si="2">C34*B34</f>
        <v>2520</v>
      </c>
      <c r="E34" s="53">
        <v>4.5</v>
      </c>
      <c r="H34" s="52" t="s">
        <v>39</v>
      </c>
      <c r="I34" s="49">
        <v>354</v>
      </c>
      <c r="J34" s="76">
        <v>8</v>
      </c>
      <c r="K34" s="49">
        <f t="shared" ref="K34" si="3">J34*I34</f>
        <v>2832</v>
      </c>
      <c r="L34" s="53">
        <v>4.5</v>
      </c>
    </row>
    <row r="35" spans="1:12" x14ac:dyDescent="0.3">
      <c r="A35" s="52" t="s">
        <v>72</v>
      </c>
      <c r="B35" s="49">
        <v>315</v>
      </c>
      <c r="C35" s="49">
        <v>0</v>
      </c>
      <c r="D35" s="49">
        <f>C35*B35</f>
        <v>0</v>
      </c>
      <c r="E35" s="53">
        <v>0</v>
      </c>
      <c r="H35" s="52" t="s">
        <v>72</v>
      </c>
      <c r="I35" s="49">
        <v>354</v>
      </c>
      <c r="J35" s="49">
        <v>0</v>
      </c>
      <c r="K35" s="49">
        <f>J35*I35</f>
        <v>0</v>
      </c>
      <c r="L35" s="53">
        <v>0</v>
      </c>
    </row>
    <row r="36" spans="1:12" x14ac:dyDescent="0.3">
      <c r="A36" s="52" t="s">
        <v>40</v>
      </c>
      <c r="B36" s="49">
        <v>315</v>
      </c>
      <c r="C36" s="49">
        <v>0</v>
      </c>
      <c r="D36" s="49">
        <f t="shared" ref="D36:D41" si="4">C36*B36</f>
        <v>0</v>
      </c>
      <c r="E36" s="53">
        <v>0</v>
      </c>
      <c r="H36" s="52" t="s">
        <v>40</v>
      </c>
      <c r="I36" s="49">
        <v>354</v>
      </c>
      <c r="J36" s="49">
        <v>0</v>
      </c>
      <c r="K36" s="49">
        <f t="shared" ref="K36:K41" si="5">J36*I36</f>
        <v>0</v>
      </c>
      <c r="L36" s="53">
        <v>0</v>
      </c>
    </row>
    <row r="37" spans="1:12" x14ac:dyDescent="0.3">
      <c r="A37" s="52" t="s">
        <v>69</v>
      </c>
      <c r="B37" s="49">
        <v>315</v>
      </c>
      <c r="C37" s="49">
        <v>0</v>
      </c>
      <c r="D37" s="49">
        <f t="shared" si="4"/>
        <v>0</v>
      </c>
      <c r="E37" s="53">
        <v>0</v>
      </c>
      <c r="H37" s="52" t="s">
        <v>69</v>
      </c>
      <c r="I37" s="49">
        <v>354</v>
      </c>
      <c r="J37" s="49">
        <v>0</v>
      </c>
      <c r="K37" s="49">
        <f t="shared" si="5"/>
        <v>0</v>
      </c>
      <c r="L37" s="53">
        <v>0</v>
      </c>
    </row>
    <row r="38" spans="1:12" x14ac:dyDescent="0.3">
      <c r="A38" s="52" t="s">
        <v>63</v>
      </c>
      <c r="B38" s="49">
        <v>315</v>
      </c>
      <c r="C38" s="49">
        <v>0</v>
      </c>
      <c r="D38" s="49">
        <f t="shared" si="4"/>
        <v>0</v>
      </c>
      <c r="E38" s="53">
        <v>0</v>
      </c>
      <c r="H38" s="52" t="s">
        <v>63</v>
      </c>
      <c r="I38" s="49">
        <v>354</v>
      </c>
      <c r="J38" s="49">
        <v>0</v>
      </c>
      <c r="K38" s="49">
        <f t="shared" si="5"/>
        <v>0</v>
      </c>
      <c r="L38" s="53">
        <v>0</v>
      </c>
    </row>
    <row r="39" spans="1:12" x14ac:dyDescent="0.3">
      <c r="A39" s="52" t="s">
        <v>77</v>
      </c>
      <c r="B39" s="49">
        <v>315</v>
      </c>
      <c r="C39" s="49">
        <v>0.75</v>
      </c>
      <c r="D39" s="49">
        <f t="shared" si="4"/>
        <v>236.25</v>
      </c>
      <c r="E39" s="53">
        <v>0.75</v>
      </c>
      <c r="H39" s="52" t="s">
        <v>77</v>
      </c>
      <c r="I39" s="49">
        <v>354</v>
      </c>
      <c r="J39" s="49">
        <v>0.75</v>
      </c>
      <c r="K39" s="49">
        <f t="shared" si="5"/>
        <v>265.5</v>
      </c>
      <c r="L39" s="53">
        <v>0.75</v>
      </c>
    </row>
    <row r="40" spans="1:12" x14ac:dyDescent="0.3">
      <c r="A40" s="52" t="s">
        <v>85</v>
      </c>
      <c r="B40" s="49">
        <v>315</v>
      </c>
      <c r="C40" s="49">
        <v>0.25</v>
      </c>
      <c r="D40" s="49">
        <f t="shared" si="4"/>
        <v>78.75</v>
      </c>
      <c r="E40" s="53">
        <v>0.25</v>
      </c>
      <c r="H40" s="52" t="s">
        <v>85</v>
      </c>
      <c r="I40" s="49">
        <v>354</v>
      </c>
      <c r="J40" s="49">
        <v>0.25</v>
      </c>
      <c r="K40" s="49">
        <f t="shared" si="5"/>
        <v>88.5</v>
      </c>
      <c r="L40" s="53">
        <v>0.25</v>
      </c>
    </row>
    <row r="41" spans="1:12" x14ac:dyDescent="0.3">
      <c r="A41" s="52" t="s">
        <v>87</v>
      </c>
      <c r="B41" s="49">
        <v>315</v>
      </c>
      <c r="C41" s="49">
        <v>0</v>
      </c>
      <c r="D41" s="49">
        <f t="shared" si="4"/>
        <v>0</v>
      </c>
      <c r="E41" s="53">
        <v>0</v>
      </c>
      <c r="H41" s="52" t="s">
        <v>87</v>
      </c>
      <c r="I41" s="49">
        <v>354</v>
      </c>
      <c r="J41" s="49">
        <v>0</v>
      </c>
      <c r="K41" s="49">
        <f t="shared" si="5"/>
        <v>0</v>
      </c>
      <c r="L41" s="53">
        <v>0</v>
      </c>
    </row>
    <row r="42" spans="1:12" x14ac:dyDescent="0.3">
      <c r="A42" s="52" t="s">
        <v>88</v>
      </c>
      <c r="B42" s="49">
        <v>500</v>
      </c>
      <c r="C42" s="49">
        <v>0</v>
      </c>
      <c r="D42" s="49">
        <v>0</v>
      </c>
      <c r="E42" s="53">
        <v>0</v>
      </c>
      <c r="H42" s="52" t="s">
        <v>88</v>
      </c>
      <c r="I42" s="49">
        <v>500</v>
      </c>
      <c r="J42" s="49">
        <v>0</v>
      </c>
      <c r="K42" s="49">
        <v>0</v>
      </c>
      <c r="L42" s="53">
        <v>0</v>
      </c>
    </row>
    <row r="43" spans="1:12" x14ac:dyDescent="0.3">
      <c r="A43" s="52" t="s">
        <v>89</v>
      </c>
      <c r="B43" s="49">
        <v>500</v>
      </c>
      <c r="C43" s="76">
        <v>2</v>
      </c>
      <c r="D43" s="49">
        <f>C43*B43</f>
        <v>1000</v>
      </c>
      <c r="E43" s="53">
        <f>C43</f>
        <v>2</v>
      </c>
      <c r="H43" s="52" t="s">
        <v>89</v>
      </c>
      <c r="I43" s="49">
        <v>500</v>
      </c>
      <c r="J43" s="76">
        <v>2</v>
      </c>
      <c r="K43" s="49">
        <f>J43*I43</f>
        <v>1000</v>
      </c>
      <c r="L43" s="53">
        <f>J43</f>
        <v>2</v>
      </c>
    </row>
    <row r="44" spans="1:12" x14ac:dyDescent="0.3">
      <c r="A44" s="52" t="s">
        <v>145</v>
      </c>
      <c r="B44" s="49">
        <v>500</v>
      </c>
      <c r="C44" s="76"/>
      <c r="D44" s="49"/>
      <c r="E44" s="53"/>
      <c r="H44" s="52" t="s">
        <v>145</v>
      </c>
      <c r="I44" s="49">
        <v>500</v>
      </c>
      <c r="J44" s="76"/>
      <c r="K44" s="49"/>
      <c r="L44" s="53"/>
    </row>
    <row r="45" spans="1:12" x14ac:dyDescent="0.3">
      <c r="A45" s="72" t="s">
        <v>41</v>
      </c>
      <c r="B45" s="73">
        <v>0</v>
      </c>
      <c r="C45" s="73"/>
      <c r="D45" s="73"/>
      <c r="E45" s="74"/>
      <c r="H45" s="72" t="s">
        <v>41</v>
      </c>
      <c r="I45" s="73">
        <v>2</v>
      </c>
      <c r="J45" s="73"/>
      <c r="K45" s="73"/>
      <c r="L45" s="74"/>
    </row>
    <row r="46" spans="1:12" x14ac:dyDescent="0.3">
      <c r="A46" s="72" t="s">
        <v>42</v>
      </c>
      <c r="B46" s="73">
        <v>0</v>
      </c>
      <c r="C46" s="73"/>
      <c r="D46" s="73">
        <v>271.10000000000002</v>
      </c>
      <c r="E46" s="74">
        <f>D46/B37</f>
        <v>0.86063492063492075</v>
      </c>
      <c r="H46" s="72" t="s">
        <v>42</v>
      </c>
      <c r="I46" s="73">
        <v>0</v>
      </c>
      <c r="J46" s="73"/>
      <c r="K46" s="73">
        <v>271.10000000000002</v>
      </c>
      <c r="L46" s="74">
        <f>K46/I37</f>
        <v>0.76581920903954803</v>
      </c>
    </row>
    <row r="47" spans="1:12" ht="14.5" thickBot="1" x14ac:dyDescent="0.35">
      <c r="A47" s="72" t="s">
        <v>43</v>
      </c>
      <c r="B47" s="73">
        <v>0</v>
      </c>
      <c r="C47" s="73"/>
      <c r="D47" s="73">
        <v>472</v>
      </c>
      <c r="E47" s="74">
        <f>D47/B37</f>
        <v>1.4984126984126984</v>
      </c>
      <c r="H47" s="72" t="s">
        <v>43</v>
      </c>
      <c r="I47" s="73">
        <v>0</v>
      </c>
      <c r="J47" s="73"/>
      <c r="K47" s="73">
        <v>472</v>
      </c>
      <c r="L47" s="74">
        <f>K47/I37</f>
        <v>1.3333333333333333</v>
      </c>
    </row>
    <row r="48" spans="1:12" ht="14.5" thickBot="1" x14ac:dyDescent="0.35">
      <c r="A48" s="289" t="s">
        <v>44</v>
      </c>
      <c r="B48" s="290"/>
      <c r="C48" s="223">
        <f>SUM(C32:C47)</f>
        <v>600.51</v>
      </c>
      <c r="D48" s="223">
        <f>SUM(D32:D47)</f>
        <v>7874.4500000000007</v>
      </c>
      <c r="E48" s="47">
        <f>SUM(E32:E47)</f>
        <v>20.323650793650799</v>
      </c>
      <c r="H48" s="289" t="s">
        <v>44</v>
      </c>
      <c r="I48" s="290"/>
      <c r="J48" s="223">
        <f>SUM(J32:J47)</f>
        <v>807.27</v>
      </c>
      <c r="K48" s="223">
        <f>SUM(K32:K47)</f>
        <v>10055.52</v>
      </c>
      <c r="L48" s="47">
        <f>SUM(L32:L47)</f>
        <v>24.080564971751411</v>
      </c>
    </row>
    <row r="49" spans="1:12" x14ac:dyDescent="0.3">
      <c r="A49" s="291" t="s">
        <v>59</v>
      </c>
      <c r="B49" s="292"/>
      <c r="C49" s="292"/>
      <c r="D49" s="293"/>
      <c r="E49" s="61">
        <v>359</v>
      </c>
      <c r="H49" s="291" t="s">
        <v>59</v>
      </c>
      <c r="I49" s="292"/>
      <c r="J49" s="292"/>
      <c r="K49" s="293"/>
      <c r="L49" s="61">
        <v>339</v>
      </c>
    </row>
    <row r="50" spans="1:12" x14ac:dyDescent="0.3">
      <c r="A50" s="314" t="s">
        <v>60</v>
      </c>
      <c r="B50" s="315"/>
      <c r="C50" s="315"/>
      <c r="D50" s="316"/>
      <c r="E50" s="62">
        <f>E49-E48</f>
        <v>338.67634920634919</v>
      </c>
      <c r="H50" s="314" t="s">
        <v>60</v>
      </c>
      <c r="I50" s="315"/>
      <c r="J50" s="315"/>
      <c r="K50" s="316"/>
      <c r="L50" s="62">
        <f>L49-L48</f>
        <v>314.91943502824859</v>
      </c>
    </row>
    <row r="51" spans="1:12" x14ac:dyDescent="0.3">
      <c r="A51" s="314" t="s">
        <v>61</v>
      </c>
      <c r="B51" s="315"/>
      <c r="C51" s="315"/>
      <c r="D51" s="316"/>
      <c r="E51" s="63">
        <f>E49*B39</f>
        <v>113085</v>
      </c>
      <c r="H51" s="314" t="s">
        <v>61</v>
      </c>
      <c r="I51" s="315"/>
      <c r="J51" s="315"/>
      <c r="K51" s="316"/>
      <c r="L51" s="63">
        <f>L49*I37</f>
        <v>120006</v>
      </c>
    </row>
    <row r="52" spans="1:12" ht="14.5" thickBot="1" x14ac:dyDescent="0.35">
      <c r="A52" s="320" t="s">
        <v>62</v>
      </c>
      <c r="B52" s="321"/>
      <c r="C52" s="321"/>
      <c r="D52" s="322"/>
      <c r="E52" s="64">
        <f>E51-D48</f>
        <v>105210.55</v>
      </c>
      <c r="H52" s="320" t="s">
        <v>62</v>
      </c>
      <c r="I52" s="321"/>
      <c r="J52" s="321"/>
      <c r="K52" s="322"/>
      <c r="L52" s="64">
        <f>L51-K48</f>
        <v>109950.48</v>
      </c>
    </row>
    <row r="56" spans="1:12" ht="14.5" thickBot="1" x14ac:dyDescent="0.35"/>
    <row r="57" spans="1:12" x14ac:dyDescent="0.3">
      <c r="A57" s="283" t="s">
        <v>127</v>
      </c>
      <c r="B57" s="284"/>
      <c r="C57" s="284"/>
      <c r="D57" s="284"/>
      <c r="E57" s="285"/>
      <c r="H57" s="283" t="s">
        <v>130</v>
      </c>
      <c r="I57" s="284"/>
      <c r="J57" s="284"/>
      <c r="K57" s="284"/>
      <c r="L57" s="285"/>
    </row>
    <row r="58" spans="1:12" ht="14.5" thickBot="1" x14ac:dyDescent="0.35">
      <c r="A58" s="286"/>
      <c r="B58" s="287"/>
      <c r="C58" s="287"/>
      <c r="D58" s="287"/>
      <c r="E58" s="288"/>
      <c r="H58" s="286"/>
      <c r="I58" s="287"/>
      <c r="J58" s="287"/>
      <c r="K58" s="287"/>
      <c r="L58" s="288"/>
    </row>
    <row r="59" spans="1:12" ht="14.5" thickBot="1" x14ac:dyDescent="0.35">
      <c r="A59" s="222" t="s">
        <v>35</v>
      </c>
      <c r="B59" s="223" t="s">
        <v>36</v>
      </c>
      <c r="C59" s="223" t="s">
        <v>37</v>
      </c>
      <c r="D59" s="223" t="s">
        <v>38</v>
      </c>
      <c r="E59" s="47" t="s">
        <v>58</v>
      </c>
      <c r="H59" s="222" t="s">
        <v>35</v>
      </c>
      <c r="I59" s="223" t="s">
        <v>36</v>
      </c>
      <c r="J59" s="223" t="s">
        <v>37</v>
      </c>
      <c r="K59" s="223" t="s">
        <v>38</v>
      </c>
      <c r="L59" s="47" t="s">
        <v>58</v>
      </c>
    </row>
    <row r="60" spans="1:12" x14ac:dyDescent="0.3">
      <c r="A60" s="69" t="s">
        <v>93</v>
      </c>
      <c r="B60" s="70">
        <v>5</v>
      </c>
      <c r="C60" s="70">
        <v>1113.02</v>
      </c>
      <c r="D60" s="70">
        <f>C60*B60</f>
        <v>5565.1</v>
      </c>
      <c r="E60" s="71">
        <f>D60/B66</f>
        <v>11.666876310272537</v>
      </c>
      <c r="H60" s="69" t="s">
        <v>92</v>
      </c>
      <c r="I60" s="70">
        <v>6</v>
      </c>
      <c r="J60" s="70">
        <v>651.1</v>
      </c>
      <c r="K60" s="70">
        <f>J60*I60</f>
        <v>3906.6000000000004</v>
      </c>
      <c r="L60" s="71">
        <f>K60/I62</f>
        <v>8.585934065934067</v>
      </c>
    </row>
    <row r="61" spans="1:12" x14ac:dyDescent="0.3">
      <c r="A61" s="69" t="s">
        <v>71</v>
      </c>
      <c r="B61" s="70">
        <v>1</v>
      </c>
      <c r="C61" s="70"/>
      <c r="D61" s="70">
        <v>348.8</v>
      </c>
      <c r="E61" s="71">
        <f>D61/B66</f>
        <v>0.73123689727463315</v>
      </c>
      <c r="H61" s="69" t="s">
        <v>71</v>
      </c>
      <c r="I61" s="70">
        <v>1</v>
      </c>
      <c r="J61" s="70"/>
      <c r="K61" s="70">
        <v>348.8</v>
      </c>
      <c r="L61" s="71">
        <f>K61/I66</f>
        <v>0.76659340659340658</v>
      </c>
    </row>
    <row r="62" spans="1:12" x14ac:dyDescent="0.3">
      <c r="A62" s="52" t="s">
        <v>39</v>
      </c>
      <c r="B62" s="49">
        <v>477</v>
      </c>
      <c r="C62" s="76">
        <v>8</v>
      </c>
      <c r="D62" s="49">
        <f t="shared" ref="D62" si="6">C62*B62</f>
        <v>3816</v>
      </c>
      <c r="E62" s="53">
        <v>4.5</v>
      </c>
      <c r="H62" s="52" t="s">
        <v>39</v>
      </c>
      <c r="I62" s="49">
        <v>455</v>
      </c>
      <c r="J62" s="76">
        <v>8</v>
      </c>
      <c r="K62" s="49">
        <f t="shared" ref="K62" si="7">J62*I62</f>
        <v>3640</v>
      </c>
      <c r="L62" s="53">
        <v>4.5</v>
      </c>
    </row>
    <row r="63" spans="1:12" x14ac:dyDescent="0.3">
      <c r="A63" s="52" t="s">
        <v>72</v>
      </c>
      <c r="B63" s="49">
        <v>477</v>
      </c>
      <c r="C63" s="49">
        <v>0</v>
      </c>
      <c r="D63" s="49">
        <v>348.93</v>
      </c>
      <c r="E63" s="53">
        <v>0</v>
      </c>
      <c r="H63" s="52" t="s">
        <v>72</v>
      </c>
      <c r="I63" s="49">
        <v>455</v>
      </c>
      <c r="J63" s="49">
        <v>0</v>
      </c>
      <c r="K63" s="49">
        <f>J63*I63</f>
        <v>0</v>
      </c>
      <c r="L63" s="53">
        <v>0</v>
      </c>
    </row>
    <row r="64" spans="1:12" x14ac:dyDescent="0.3">
      <c r="A64" s="52" t="s">
        <v>96</v>
      </c>
      <c r="B64" s="49">
        <v>477</v>
      </c>
      <c r="C64" s="49">
        <v>0.5</v>
      </c>
      <c r="D64" s="49">
        <f>C64*B64</f>
        <v>238.5</v>
      </c>
      <c r="E64" s="53">
        <v>0.5</v>
      </c>
      <c r="H64" s="52" t="s">
        <v>96</v>
      </c>
      <c r="I64" s="49">
        <v>455</v>
      </c>
      <c r="J64" s="49">
        <v>0.5</v>
      </c>
      <c r="K64" s="49">
        <f>J64*I64</f>
        <v>227.5</v>
      </c>
      <c r="L64" s="53">
        <v>0.5</v>
      </c>
    </row>
    <row r="65" spans="1:12" x14ac:dyDescent="0.3">
      <c r="A65" s="52" t="s">
        <v>40</v>
      </c>
      <c r="B65" s="49">
        <v>477</v>
      </c>
      <c r="C65" s="76">
        <v>4.5</v>
      </c>
      <c r="D65" s="49">
        <f t="shared" ref="D65:D72" si="8">C65*B65</f>
        <v>2146.5</v>
      </c>
      <c r="E65" s="53">
        <v>4.5</v>
      </c>
      <c r="H65" s="52" t="s">
        <v>40</v>
      </c>
      <c r="I65" s="49">
        <v>455</v>
      </c>
      <c r="J65" s="76">
        <v>4.5</v>
      </c>
      <c r="K65" s="49">
        <f t="shared" ref="K65:K72" si="9">J65*I65</f>
        <v>2047.5</v>
      </c>
      <c r="L65" s="53">
        <v>4.5</v>
      </c>
    </row>
    <row r="66" spans="1:12" x14ac:dyDescent="0.3">
      <c r="A66" s="52" t="s">
        <v>69</v>
      </c>
      <c r="B66" s="49">
        <v>477</v>
      </c>
      <c r="C66" s="49">
        <v>0</v>
      </c>
      <c r="D66" s="49">
        <f t="shared" si="8"/>
        <v>0</v>
      </c>
      <c r="E66" s="53">
        <v>0</v>
      </c>
      <c r="H66" s="52" t="s">
        <v>69</v>
      </c>
      <c r="I66" s="49">
        <v>455</v>
      </c>
      <c r="J66" s="49">
        <v>0</v>
      </c>
      <c r="K66" s="49">
        <f t="shared" si="9"/>
        <v>0</v>
      </c>
      <c r="L66" s="53">
        <v>0</v>
      </c>
    </row>
    <row r="67" spans="1:12" x14ac:dyDescent="0.3">
      <c r="A67" s="52" t="s">
        <v>63</v>
      </c>
      <c r="B67" s="49">
        <v>477</v>
      </c>
      <c r="C67" s="49">
        <v>0</v>
      </c>
      <c r="D67" s="49">
        <f t="shared" si="8"/>
        <v>0</v>
      </c>
      <c r="E67" s="53">
        <v>0</v>
      </c>
      <c r="H67" s="52" t="s">
        <v>63</v>
      </c>
      <c r="I67" s="49">
        <v>455</v>
      </c>
      <c r="J67" s="49">
        <v>0</v>
      </c>
      <c r="K67" s="49">
        <f t="shared" si="9"/>
        <v>0</v>
      </c>
      <c r="L67" s="53">
        <v>0</v>
      </c>
    </row>
    <row r="68" spans="1:12" ht="12" customHeight="1" x14ac:dyDescent="0.3">
      <c r="A68" s="52" t="s">
        <v>77</v>
      </c>
      <c r="B68" s="49">
        <v>477</v>
      </c>
      <c r="C68" s="49">
        <v>0.75</v>
      </c>
      <c r="D68" s="49">
        <f t="shared" si="8"/>
        <v>357.75</v>
      </c>
      <c r="E68" s="53">
        <v>0.75</v>
      </c>
      <c r="H68" s="52" t="s">
        <v>77</v>
      </c>
      <c r="I68" s="49">
        <v>455</v>
      </c>
      <c r="J68" s="49">
        <v>0.75</v>
      </c>
      <c r="K68" s="49">
        <f t="shared" si="9"/>
        <v>341.25</v>
      </c>
      <c r="L68" s="53">
        <v>0.75</v>
      </c>
    </row>
    <row r="69" spans="1:12" x14ac:dyDescent="0.3">
      <c r="A69" s="52" t="s">
        <v>85</v>
      </c>
      <c r="B69" s="49">
        <v>477</v>
      </c>
      <c r="C69" s="49">
        <v>0.25</v>
      </c>
      <c r="D69" s="49">
        <f t="shared" si="8"/>
        <v>119.25</v>
      </c>
      <c r="E69" s="53">
        <v>0.25</v>
      </c>
      <c r="H69" s="52" t="s">
        <v>85</v>
      </c>
      <c r="I69" s="49">
        <v>455</v>
      </c>
      <c r="J69" s="49">
        <v>0.25</v>
      </c>
      <c r="K69" s="49">
        <f t="shared" si="9"/>
        <v>113.75</v>
      </c>
      <c r="L69" s="53">
        <v>0.25</v>
      </c>
    </row>
    <row r="70" spans="1:12" x14ac:dyDescent="0.3">
      <c r="A70" s="52" t="s">
        <v>87</v>
      </c>
      <c r="B70" s="49">
        <v>477</v>
      </c>
      <c r="C70" s="49">
        <v>0</v>
      </c>
      <c r="D70" s="49">
        <f t="shared" si="8"/>
        <v>0</v>
      </c>
      <c r="E70" s="53">
        <v>0</v>
      </c>
      <c r="H70" s="52" t="s">
        <v>87</v>
      </c>
      <c r="I70" s="49">
        <v>455</v>
      </c>
      <c r="J70" s="49">
        <v>0</v>
      </c>
      <c r="K70" s="49">
        <f t="shared" si="9"/>
        <v>0</v>
      </c>
      <c r="L70" s="53">
        <v>0</v>
      </c>
    </row>
    <row r="71" spans="1:12" x14ac:dyDescent="0.3">
      <c r="A71" s="52" t="s">
        <v>88</v>
      </c>
      <c r="B71" s="49">
        <v>500</v>
      </c>
      <c r="C71" s="49">
        <v>0.79</v>
      </c>
      <c r="D71" s="49">
        <f t="shared" si="8"/>
        <v>395</v>
      </c>
      <c r="E71" s="53">
        <f>C71</f>
        <v>0.79</v>
      </c>
      <c r="H71" s="52" t="s">
        <v>88</v>
      </c>
      <c r="I71" s="49">
        <v>500</v>
      </c>
      <c r="J71" s="49">
        <v>0.79</v>
      </c>
      <c r="K71" s="49">
        <f t="shared" si="9"/>
        <v>395</v>
      </c>
      <c r="L71" s="53">
        <f>J71</f>
        <v>0.79</v>
      </c>
    </row>
    <row r="72" spans="1:12" x14ac:dyDescent="0.3">
      <c r="A72" s="52" t="s">
        <v>89</v>
      </c>
      <c r="B72" s="49">
        <v>500</v>
      </c>
      <c r="C72" s="76">
        <v>2</v>
      </c>
      <c r="D72" s="49">
        <f t="shared" si="8"/>
        <v>1000</v>
      </c>
      <c r="E72" s="53">
        <f>C72</f>
        <v>2</v>
      </c>
      <c r="H72" s="68" t="s">
        <v>89</v>
      </c>
      <c r="I72" s="49">
        <v>500</v>
      </c>
      <c r="J72" s="49">
        <v>2</v>
      </c>
      <c r="K72" s="76">
        <f t="shared" si="9"/>
        <v>1000</v>
      </c>
      <c r="L72" s="53">
        <f>J72</f>
        <v>2</v>
      </c>
    </row>
    <row r="73" spans="1:12" x14ac:dyDescent="0.3">
      <c r="A73" s="52" t="s">
        <v>145</v>
      </c>
      <c r="B73" s="49">
        <v>500</v>
      </c>
      <c r="C73" s="76"/>
      <c r="D73" s="49"/>
      <c r="E73" s="53"/>
      <c r="H73" s="68" t="s">
        <v>145</v>
      </c>
      <c r="I73" s="49">
        <v>500</v>
      </c>
      <c r="J73" s="49"/>
      <c r="K73" s="76"/>
      <c r="L73" s="53"/>
    </row>
    <row r="74" spans="1:12" x14ac:dyDescent="0.3">
      <c r="A74" s="72" t="s">
        <v>41</v>
      </c>
      <c r="B74" s="73">
        <v>2</v>
      </c>
      <c r="C74" s="73"/>
      <c r="D74" s="73"/>
      <c r="E74" s="74"/>
      <c r="H74" s="72" t="s">
        <v>41</v>
      </c>
      <c r="I74" s="73">
        <v>2</v>
      </c>
      <c r="J74" s="73"/>
      <c r="K74" s="73"/>
      <c r="L74" s="74"/>
    </row>
    <row r="75" spans="1:12" x14ac:dyDescent="0.3">
      <c r="A75" s="72" t="s">
        <v>42</v>
      </c>
      <c r="B75" s="73">
        <v>0</v>
      </c>
      <c r="C75" s="73"/>
      <c r="D75" s="73">
        <v>271.10000000000002</v>
      </c>
      <c r="E75" s="74">
        <f>D75/B66</f>
        <v>0.56834381551362689</v>
      </c>
      <c r="H75" s="72" t="s">
        <v>42</v>
      </c>
      <c r="I75" s="73">
        <v>0</v>
      </c>
      <c r="J75" s="73"/>
      <c r="K75" s="73">
        <v>271.10000000000002</v>
      </c>
      <c r="L75" s="74">
        <f>K75/I66</f>
        <v>0.59582417582417591</v>
      </c>
    </row>
    <row r="76" spans="1:12" ht="14.5" thickBot="1" x14ac:dyDescent="0.35">
      <c r="A76" s="72" t="s">
        <v>43</v>
      </c>
      <c r="B76" s="73">
        <v>0</v>
      </c>
      <c r="C76" s="73"/>
      <c r="D76" s="73">
        <v>472</v>
      </c>
      <c r="E76" s="74">
        <f>D76/B66</f>
        <v>0.98951781970649899</v>
      </c>
      <c r="H76" s="72" t="s">
        <v>43</v>
      </c>
      <c r="I76" s="73">
        <v>0</v>
      </c>
      <c r="J76" s="73"/>
      <c r="K76" s="73">
        <v>472</v>
      </c>
      <c r="L76" s="74">
        <f>K76/I66</f>
        <v>1.0373626373626375</v>
      </c>
    </row>
    <row r="77" spans="1:12" ht="14.5" thickBot="1" x14ac:dyDescent="0.35">
      <c r="A77" s="289" t="s">
        <v>44</v>
      </c>
      <c r="B77" s="290"/>
      <c r="C77" s="223">
        <f>SUM(C60:C76)</f>
        <v>1129.81</v>
      </c>
      <c r="D77" s="223">
        <f>SUM(D60:D76)</f>
        <v>15078.930000000002</v>
      </c>
      <c r="E77" s="47">
        <f>SUM(E60:E76)</f>
        <v>27.245974842767296</v>
      </c>
      <c r="H77" s="289" t="s">
        <v>44</v>
      </c>
      <c r="I77" s="290"/>
      <c r="J77" s="223">
        <f>SUM(J60:J76)</f>
        <v>667.89</v>
      </c>
      <c r="K77" s="223">
        <f>SUM(K60:K76)</f>
        <v>12763.500000000002</v>
      </c>
      <c r="L77" s="47">
        <f>SUM(L60:L76)</f>
        <v>24.275714285714287</v>
      </c>
    </row>
    <row r="78" spans="1:12" x14ac:dyDescent="0.3">
      <c r="A78" s="291" t="s">
        <v>59</v>
      </c>
      <c r="B78" s="292"/>
      <c r="C78" s="292"/>
      <c r="D78" s="293"/>
      <c r="E78" s="61">
        <v>369</v>
      </c>
      <c r="H78" s="291" t="s">
        <v>59</v>
      </c>
      <c r="I78" s="292"/>
      <c r="J78" s="292"/>
      <c r="K78" s="293"/>
      <c r="L78" s="61">
        <v>369</v>
      </c>
    </row>
    <row r="79" spans="1:12" x14ac:dyDescent="0.3">
      <c r="A79" s="314" t="s">
        <v>60</v>
      </c>
      <c r="B79" s="315"/>
      <c r="C79" s="315"/>
      <c r="D79" s="316"/>
      <c r="E79" s="62">
        <f>E78-E77</f>
        <v>341.75402515723272</v>
      </c>
      <c r="H79" s="314" t="s">
        <v>60</v>
      </c>
      <c r="I79" s="315"/>
      <c r="J79" s="315"/>
      <c r="K79" s="316"/>
      <c r="L79" s="62">
        <f>L78-L77</f>
        <v>344.72428571428571</v>
      </c>
    </row>
    <row r="80" spans="1:12" x14ac:dyDescent="0.3">
      <c r="A80" s="314" t="s">
        <v>61</v>
      </c>
      <c r="B80" s="315"/>
      <c r="C80" s="315"/>
      <c r="D80" s="316"/>
      <c r="E80" s="63">
        <f>E78*B66</f>
        <v>176013</v>
      </c>
      <c r="H80" s="314" t="s">
        <v>61</v>
      </c>
      <c r="I80" s="315"/>
      <c r="J80" s="315"/>
      <c r="K80" s="316"/>
      <c r="L80" s="63">
        <f>L78*I66</f>
        <v>167895</v>
      </c>
    </row>
    <row r="81" spans="1:12" ht="14.5" thickBot="1" x14ac:dyDescent="0.35">
      <c r="A81" s="280" t="s">
        <v>62</v>
      </c>
      <c r="B81" s="281"/>
      <c r="C81" s="281"/>
      <c r="D81" s="282"/>
      <c r="E81" s="77">
        <f>E80-D77</f>
        <v>160934.07</v>
      </c>
      <c r="H81" s="280" t="s">
        <v>62</v>
      </c>
      <c r="I81" s="281"/>
      <c r="J81" s="281"/>
      <c r="K81" s="282"/>
      <c r="L81" s="77">
        <f>L80-K77</f>
        <v>155131.5</v>
      </c>
    </row>
    <row r="83" spans="1:12" ht="14.5" thickBot="1" x14ac:dyDescent="0.35"/>
    <row r="84" spans="1:12" x14ac:dyDescent="0.3">
      <c r="A84" s="283" t="s">
        <v>137</v>
      </c>
      <c r="B84" s="284"/>
      <c r="C84" s="284"/>
      <c r="D84" s="284"/>
      <c r="E84" s="285"/>
      <c r="H84" s="299" t="s">
        <v>138</v>
      </c>
      <c r="I84" s="300"/>
      <c r="J84" s="300"/>
      <c r="K84" s="300"/>
      <c r="L84" s="301"/>
    </row>
    <row r="85" spans="1:12" ht="14.5" thickBot="1" x14ac:dyDescent="0.35">
      <c r="A85" s="286"/>
      <c r="B85" s="287"/>
      <c r="C85" s="287"/>
      <c r="D85" s="287"/>
      <c r="E85" s="288"/>
      <c r="H85" s="302"/>
      <c r="I85" s="303"/>
      <c r="J85" s="303"/>
      <c r="K85" s="303"/>
      <c r="L85" s="304"/>
    </row>
    <row r="86" spans="1:12" ht="14.5" thickBot="1" x14ac:dyDescent="0.35">
      <c r="A86" s="222" t="s">
        <v>35</v>
      </c>
      <c r="B86" s="223" t="s">
        <v>36</v>
      </c>
      <c r="C86" s="223" t="s">
        <v>37</v>
      </c>
      <c r="D86" s="223" t="s">
        <v>38</v>
      </c>
      <c r="E86" s="47" t="s">
        <v>58</v>
      </c>
      <c r="H86" s="222" t="s">
        <v>35</v>
      </c>
      <c r="I86" s="223" t="s">
        <v>36</v>
      </c>
      <c r="J86" s="223" t="s">
        <v>37</v>
      </c>
      <c r="K86" s="223" t="s">
        <v>38</v>
      </c>
      <c r="L86" s="47" t="s">
        <v>58</v>
      </c>
    </row>
    <row r="87" spans="1:12" x14ac:dyDescent="0.3">
      <c r="A87" s="69" t="s">
        <v>94</v>
      </c>
      <c r="B87" s="70">
        <v>1</v>
      </c>
      <c r="C87" s="70">
        <v>844.66</v>
      </c>
      <c r="D87" s="70">
        <f>C87*B87</f>
        <v>844.66</v>
      </c>
      <c r="E87" s="71">
        <f>D87/B93</f>
        <v>2.2053785900783289</v>
      </c>
      <c r="H87" s="69" t="s">
        <v>94</v>
      </c>
      <c r="I87" s="70">
        <v>1</v>
      </c>
      <c r="J87" s="70">
        <v>1433.66</v>
      </c>
      <c r="K87" s="70">
        <f>J87*I87</f>
        <v>1433.66</v>
      </c>
      <c r="L87" s="71">
        <f>K87/I89</f>
        <v>5.2708088235294124</v>
      </c>
    </row>
    <row r="88" spans="1:12" x14ac:dyDescent="0.3">
      <c r="A88" s="69" t="s">
        <v>71</v>
      </c>
      <c r="B88" s="70">
        <v>1</v>
      </c>
      <c r="C88" s="70"/>
      <c r="D88" s="70">
        <v>348.8</v>
      </c>
      <c r="E88" s="71">
        <f>D88/B93</f>
        <v>0.91070496083550911</v>
      </c>
      <c r="H88" s="69" t="s">
        <v>71</v>
      </c>
      <c r="I88" s="70">
        <v>1</v>
      </c>
      <c r="J88" s="70"/>
      <c r="K88" s="70"/>
      <c r="L88" s="71">
        <f>K88/I93</f>
        <v>0</v>
      </c>
    </row>
    <row r="89" spans="1:12" x14ac:dyDescent="0.3">
      <c r="A89" s="52" t="s">
        <v>39</v>
      </c>
      <c r="B89" s="49">
        <v>383</v>
      </c>
      <c r="C89" s="76">
        <v>7</v>
      </c>
      <c r="D89" s="49">
        <f>C89*B89</f>
        <v>2681</v>
      </c>
      <c r="E89" s="53">
        <v>4.5</v>
      </c>
      <c r="H89" s="52" t="s">
        <v>39</v>
      </c>
      <c r="I89" s="49">
        <v>272</v>
      </c>
      <c r="J89" s="76">
        <v>7</v>
      </c>
      <c r="K89" s="49">
        <f>J89*I89</f>
        <v>1904</v>
      </c>
      <c r="L89" s="53">
        <v>4.5</v>
      </c>
    </row>
    <row r="90" spans="1:12" x14ac:dyDescent="0.3">
      <c r="A90" s="52" t="s">
        <v>72</v>
      </c>
      <c r="B90" s="49">
        <v>383</v>
      </c>
      <c r="C90" s="49">
        <v>0</v>
      </c>
      <c r="D90" s="49">
        <f>C90*B90</f>
        <v>0</v>
      </c>
      <c r="E90" s="53">
        <v>0</v>
      </c>
      <c r="H90" s="52" t="s">
        <v>72</v>
      </c>
      <c r="I90" s="49">
        <v>272</v>
      </c>
      <c r="J90" s="49">
        <v>0</v>
      </c>
      <c r="K90" s="49">
        <f>J90*I90</f>
        <v>0</v>
      </c>
      <c r="L90" s="53">
        <v>0</v>
      </c>
    </row>
    <row r="91" spans="1:12" x14ac:dyDescent="0.3">
      <c r="A91" s="52" t="s">
        <v>96</v>
      </c>
      <c r="B91" s="49">
        <v>383</v>
      </c>
      <c r="C91" s="49">
        <v>0.5</v>
      </c>
      <c r="D91" s="49">
        <f>C91*B91</f>
        <v>191.5</v>
      </c>
      <c r="E91" s="53">
        <v>0.5</v>
      </c>
      <c r="H91" s="52" t="s">
        <v>96</v>
      </c>
      <c r="I91" s="49">
        <v>272</v>
      </c>
      <c r="J91" s="49">
        <v>0.5</v>
      </c>
      <c r="K91" s="49">
        <f>J91*I91</f>
        <v>136</v>
      </c>
      <c r="L91" s="53">
        <v>0.5</v>
      </c>
    </row>
    <row r="92" spans="1:12" x14ac:dyDescent="0.3">
      <c r="A92" s="52" t="s">
        <v>40</v>
      </c>
      <c r="B92" s="49">
        <v>383</v>
      </c>
      <c r="C92" s="76">
        <v>4</v>
      </c>
      <c r="D92" s="49">
        <f t="shared" ref="D92:D98" si="10">C92*B92</f>
        <v>1532</v>
      </c>
      <c r="E92" s="53">
        <v>4</v>
      </c>
      <c r="H92" s="52" t="s">
        <v>40</v>
      </c>
      <c r="I92" s="49">
        <v>272</v>
      </c>
      <c r="J92" s="76">
        <v>4</v>
      </c>
      <c r="K92" s="49">
        <f t="shared" ref="K92:K98" si="11">J92*I92</f>
        <v>1088</v>
      </c>
      <c r="L92" s="53">
        <v>4</v>
      </c>
    </row>
    <row r="93" spans="1:12" x14ac:dyDescent="0.3">
      <c r="A93" s="52" t="s">
        <v>95</v>
      </c>
      <c r="B93" s="49">
        <v>383</v>
      </c>
      <c r="C93" s="49">
        <v>2.5</v>
      </c>
      <c r="D93" s="49">
        <f t="shared" si="10"/>
        <v>957.5</v>
      </c>
      <c r="E93" s="53">
        <v>2.5</v>
      </c>
      <c r="H93" s="52" t="s">
        <v>95</v>
      </c>
      <c r="I93" s="49">
        <v>272</v>
      </c>
      <c r="J93" s="49">
        <v>2.5</v>
      </c>
      <c r="K93" s="49">
        <f t="shared" si="11"/>
        <v>680</v>
      </c>
      <c r="L93" s="53">
        <v>2.5</v>
      </c>
    </row>
    <row r="94" spans="1:12" x14ac:dyDescent="0.3">
      <c r="A94" s="52" t="s">
        <v>63</v>
      </c>
      <c r="B94" s="49">
        <v>383</v>
      </c>
      <c r="C94" s="49">
        <v>2.33</v>
      </c>
      <c r="D94" s="49">
        <f t="shared" si="10"/>
        <v>892.39</v>
      </c>
      <c r="E94" s="53">
        <v>2.33</v>
      </c>
      <c r="H94" s="52" t="s">
        <v>63</v>
      </c>
      <c r="I94" s="49">
        <v>272</v>
      </c>
      <c r="J94" s="49">
        <v>2.33</v>
      </c>
      <c r="K94" s="49">
        <f t="shared" si="11"/>
        <v>633.76</v>
      </c>
      <c r="L94" s="53">
        <v>2.33</v>
      </c>
    </row>
    <row r="95" spans="1:12" x14ac:dyDescent="0.3">
      <c r="A95" s="52" t="s">
        <v>77</v>
      </c>
      <c r="B95" s="49">
        <v>383</v>
      </c>
      <c r="C95" s="49">
        <v>0.75</v>
      </c>
      <c r="D95" s="49">
        <f t="shared" si="10"/>
        <v>287.25</v>
      </c>
      <c r="E95" s="53">
        <v>0.75</v>
      </c>
      <c r="H95" s="52" t="s">
        <v>77</v>
      </c>
      <c r="I95" s="49">
        <v>272</v>
      </c>
      <c r="J95" s="49">
        <v>0.75</v>
      </c>
      <c r="K95" s="49">
        <f t="shared" si="11"/>
        <v>204</v>
      </c>
      <c r="L95" s="53">
        <v>0.75</v>
      </c>
    </row>
    <row r="96" spans="1:12" x14ac:dyDescent="0.3">
      <c r="A96" s="52" t="s">
        <v>85</v>
      </c>
      <c r="B96" s="49">
        <v>383</v>
      </c>
      <c r="C96" s="49">
        <v>0.25</v>
      </c>
      <c r="D96" s="49">
        <f t="shared" si="10"/>
        <v>95.75</v>
      </c>
      <c r="E96" s="53">
        <v>0.25</v>
      </c>
      <c r="H96" s="52" t="s">
        <v>85</v>
      </c>
      <c r="I96" s="49">
        <v>272</v>
      </c>
      <c r="J96" s="49">
        <v>0.25</v>
      </c>
      <c r="K96" s="49">
        <f t="shared" si="11"/>
        <v>68</v>
      </c>
      <c r="L96" s="53">
        <v>0.25</v>
      </c>
    </row>
    <row r="97" spans="1:12" x14ac:dyDescent="0.3">
      <c r="A97" s="52" t="s">
        <v>88</v>
      </c>
      <c r="B97" s="49">
        <v>250</v>
      </c>
      <c r="C97" s="49">
        <v>0.79</v>
      </c>
      <c r="D97" s="49">
        <f t="shared" si="10"/>
        <v>197.5</v>
      </c>
      <c r="E97" s="53">
        <f>C97</f>
        <v>0.79</v>
      </c>
      <c r="H97" s="52" t="s">
        <v>88</v>
      </c>
      <c r="I97" s="49">
        <v>250</v>
      </c>
      <c r="J97" s="49">
        <v>0.79</v>
      </c>
      <c r="K97" s="49">
        <f t="shared" si="11"/>
        <v>197.5</v>
      </c>
      <c r="L97" s="53">
        <f>J97</f>
        <v>0.79</v>
      </c>
    </row>
    <row r="98" spans="1:12" x14ac:dyDescent="0.3">
      <c r="A98" s="68" t="s">
        <v>89</v>
      </c>
      <c r="B98" s="49">
        <v>250</v>
      </c>
      <c r="C98" s="76">
        <v>2</v>
      </c>
      <c r="D98" s="49">
        <f t="shared" si="10"/>
        <v>500</v>
      </c>
      <c r="E98" s="53">
        <f>C98</f>
        <v>2</v>
      </c>
      <c r="H98" s="68" t="s">
        <v>89</v>
      </c>
      <c r="I98" s="49">
        <v>250</v>
      </c>
      <c r="J98" s="76">
        <v>2</v>
      </c>
      <c r="K98" s="49">
        <f t="shared" si="11"/>
        <v>500</v>
      </c>
      <c r="L98" s="53">
        <f>J98</f>
        <v>2</v>
      </c>
    </row>
    <row r="99" spans="1:12" x14ac:dyDescent="0.3">
      <c r="A99" s="68" t="s">
        <v>145</v>
      </c>
      <c r="B99" s="49">
        <v>250</v>
      </c>
      <c r="C99" s="76"/>
      <c r="D99" s="49"/>
      <c r="E99" s="53"/>
      <c r="H99" s="68" t="s">
        <v>145</v>
      </c>
      <c r="I99" s="49">
        <v>250</v>
      </c>
      <c r="J99" s="76"/>
      <c r="K99" s="49"/>
      <c r="L99" s="53"/>
    </row>
    <row r="100" spans="1:12" x14ac:dyDescent="0.3">
      <c r="A100" s="72" t="s">
        <v>41</v>
      </c>
      <c r="B100" s="73">
        <v>2</v>
      </c>
      <c r="C100" s="73"/>
      <c r="D100" s="73"/>
      <c r="E100" s="74"/>
      <c r="H100" s="72" t="s">
        <v>41</v>
      </c>
      <c r="I100" s="73">
        <v>2</v>
      </c>
      <c r="J100" s="73"/>
      <c r="K100" s="73"/>
      <c r="L100" s="74"/>
    </row>
    <row r="101" spans="1:12" x14ac:dyDescent="0.3">
      <c r="A101" s="72" t="s">
        <v>42</v>
      </c>
      <c r="B101" s="73">
        <v>0</v>
      </c>
      <c r="C101" s="73"/>
      <c r="D101" s="73">
        <v>271.10000000000002</v>
      </c>
      <c r="E101" s="74">
        <f>D101/B93</f>
        <v>0.70783289817232387</v>
      </c>
      <c r="H101" s="72" t="s">
        <v>42</v>
      </c>
      <c r="I101" s="73">
        <v>0</v>
      </c>
      <c r="J101" s="73"/>
      <c r="K101" s="73"/>
      <c r="L101" s="74">
        <f>K101/I93</f>
        <v>0</v>
      </c>
    </row>
    <row r="102" spans="1:12" ht="14.5" thickBot="1" x14ac:dyDescent="0.35">
      <c r="A102" s="72" t="s">
        <v>43</v>
      </c>
      <c r="B102" s="73">
        <v>0</v>
      </c>
      <c r="C102" s="73"/>
      <c r="D102" s="73">
        <v>472</v>
      </c>
      <c r="E102" s="74">
        <f>D102/B93</f>
        <v>1.2323759791122715</v>
      </c>
      <c r="H102" s="72" t="s">
        <v>43</v>
      </c>
      <c r="I102" s="73">
        <v>0</v>
      </c>
      <c r="J102" s="73"/>
      <c r="K102" s="73"/>
      <c r="L102" s="74"/>
    </row>
    <row r="103" spans="1:12" ht="14.5" thickBot="1" x14ac:dyDescent="0.35">
      <c r="A103" s="289" t="s">
        <v>44</v>
      </c>
      <c r="B103" s="290"/>
      <c r="C103" s="223">
        <f>SUM(C87:C102)</f>
        <v>864.78</v>
      </c>
      <c r="D103" s="223">
        <f>SUM(D87:D102)</f>
        <v>9271.4500000000007</v>
      </c>
      <c r="E103" s="47">
        <f>SUM(E87:E102)</f>
        <v>22.676292428198437</v>
      </c>
      <c r="H103" s="289" t="s">
        <v>44</v>
      </c>
      <c r="I103" s="290"/>
      <c r="J103" s="223">
        <f>SUM(J87:J102)</f>
        <v>1453.78</v>
      </c>
      <c r="K103" s="223">
        <f>SUM(K87:K102)</f>
        <v>6844.92</v>
      </c>
      <c r="L103" s="47">
        <f>SUM(L87:L102)</f>
        <v>22.890808823529412</v>
      </c>
    </row>
    <row r="104" spans="1:12" x14ac:dyDescent="0.3">
      <c r="A104" s="291" t="s">
        <v>59</v>
      </c>
      <c r="B104" s="292"/>
      <c r="C104" s="292"/>
      <c r="D104" s="293"/>
      <c r="E104" s="61">
        <v>189</v>
      </c>
      <c r="H104" s="291" t="s">
        <v>59</v>
      </c>
      <c r="I104" s="292"/>
      <c r="J104" s="292"/>
      <c r="K104" s="293"/>
      <c r="L104" s="61">
        <v>199</v>
      </c>
    </row>
    <row r="105" spans="1:12" x14ac:dyDescent="0.3">
      <c r="A105" s="314" t="s">
        <v>60</v>
      </c>
      <c r="B105" s="315"/>
      <c r="C105" s="315"/>
      <c r="D105" s="316"/>
      <c r="E105" s="62">
        <f>E104-E103</f>
        <v>166.32370757180155</v>
      </c>
      <c r="H105" s="314" t="s">
        <v>60</v>
      </c>
      <c r="I105" s="315"/>
      <c r="J105" s="315"/>
      <c r="K105" s="316"/>
      <c r="L105" s="62">
        <f>L104-L103</f>
        <v>176.10919117647057</v>
      </c>
    </row>
    <row r="106" spans="1:12" x14ac:dyDescent="0.3">
      <c r="A106" s="314" t="s">
        <v>61</v>
      </c>
      <c r="B106" s="315"/>
      <c r="C106" s="315"/>
      <c r="D106" s="316"/>
      <c r="E106" s="63">
        <f>E104*B93</f>
        <v>72387</v>
      </c>
      <c r="H106" s="314" t="s">
        <v>61</v>
      </c>
      <c r="I106" s="315"/>
      <c r="J106" s="315"/>
      <c r="K106" s="316"/>
      <c r="L106" s="63">
        <f>L104*I93</f>
        <v>54128</v>
      </c>
    </row>
    <row r="107" spans="1:12" ht="14.5" thickBot="1" x14ac:dyDescent="0.35">
      <c r="A107" s="280" t="s">
        <v>62</v>
      </c>
      <c r="B107" s="281"/>
      <c r="C107" s="281"/>
      <c r="D107" s="282"/>
      <c r="E107" s="77">
        <f>E106-D103</f>
        <v>63115.55</v>
      </c>
      <c r="H107" s="280" t="s">
        <v>62</v>
      </c>
      <c r="I107" s="281"/>
      <c r="J107" s="281"/>
      <c r="K107" s="282"/>
      <c r="L107" s="77">
        <f>L106-K103</f>
        <v>47283.08</v>
      </c>
    </row>
    <row r="109" spans="1:12" ht="14.5" thickBot="1" x14ac:dyDescent="0.35"/>
    <row r="110" spans="1:12" x14ac:dyDescent="0.3">
      <c r="A110" s="283" t="s">
        <v>136</v>
      </c>
      <c r="B110" s="284"/>
      <c r="C110" s="284"/>
      <c r="D110" s="284"/>
      <c r="E110" s="285"/>
    </row>
    <row r="111" spans="1:12" ht="14.5" thickBot="1" x14ac:dyDescent="0.35">
      <c r="A111" s="286"/>
      <c r="B111" s="287"/>
      <c r="C111" s="287"/>
      <c r="D111" s="287"/>
      <c r="E111" s="288"/>
    </row>
    <row r="112" spans="1:12" ht="14.5" thickBot="1" x14ac:dyDescent="0.35">
      <c r="A112" s="222" t="s">
        <v>35</v>
      </c>
      <c r="B112" s="223" t="s">
        <v>36</v>
      </c>
      <c r="C112" s="223" t="s">
        <v>37</v>
      </c>
      <c r="D112" s="223" t="s">
        <v>38</v>
      </c>
      <c r="E112" s="47" t="s">
        <v>58</v>
      </c>
    </row>
    <row r="113" spans="1:5" x14ac:dyDescent="0.3">
      <c r="A113" s="69" t="s">
        <v>94</v>
      </c>
      <c r="B113" s="70">
        <v>1</v>
      </c>
      <c r="C113" s="70">
        <v>725.88</v>
      </c>
      <c r="D113" s="70">
        <f>C113*B113</f>
        <v>725.88</v>
      </c>
      <c r="E113" s="71">
        <f>D113/B115</f>
        <v>1.5745770065075921</v>
      </c>
    </row>
    <row r="114" spans="1:5" x14ac:dyDescent="0.3">
      <c r="A114" s="69" t="s">
        <v>71</v>
      </c>
      <c r="B114" s="70">
        <v>1</v>
      </c>
      <c r="C114" s="70"/>
      <c r="D114" s="70">
        <v>348.8</v>
      </c>
      <c r="E114" s="71">
        <f>D114/B119</f>
        <v>0.75661605206073757</v>
      </c>
    </row>
    <row r="115" spans="1:5" x14ac:dyDescent="0.3">
      <c r="A115" s="52" t="s">
        <v>39</v>
      </c>
      <c r="B115" s="49">
        <v>461</v>
      </c>
      <c r="C115" s="76">
        <v>7</v>
      </c>
      <c r="D115" s="49">
        <f>C115*B115</f>
        <v>3227</v>
      </c>
      <c r="E115" s="53">
        <v>4.5</v>
      </c>
    </row>
    <row r="116" spans="1:5" x14ac:dyDescent="0.3">
      <c r="A116" s="52" t="s">
        <v>72</v>
      </c>
      <c r="B116" s="49">
        <v>461</v>
      </c>
      <c r="C116" s="49">
        <v>0</v>
      </c>
      <c r="D116" s="49">
        <f>C116*B116</f>
        <v>0</v>
      </c>
      <c r="E116" s="53">
        <v>0</v>
      </c>
    </row>
    <row r="117" spans="1:5" x14ac:dyDescent="0.3">
      <c r="A117" s="52" t="s">
        <v>97</v>
      </c>
      <c r="B117" s="49">
        <v>461</v>
      </c>
      <c r="C117" s="49">
        <v>0.5</v>
      </c>
      <c r="D117" s="49">
        <f>C117*B117</f>
        <v>230.5</v>
      </c>
      <c r="E117" s="53">
        <v>0.5</v>
      </c>
    </row>
    <row r="118" spans="1:5" x14ac:dyDescent="0.3">
      <c r="A118" s="52" t="s">
        <v>40</v>
      </c>
      <c r="B118" s="49">
        <v>461</v>
      </c>
      <c r="C118" s="76">
        <v>4</v>
      </c>
      <c r="D118" s="49">
        <f t="shared" ref="D118:D124" si="12">C118*B118</f>
        <v>1844</v>
      </c>
      <c r="E118" s="53">
        <f>C118</f>
        <v>4</v>
      </c>
    </row>
    <row r="119" spans="1:5" x14ac:dyDescent="0.3">
      <c r="A119" s="52" t="s">
        <v>95</v>
      </c>
      <c r="B119" s="49">
        <v>461</v>
      </c>
      <c r="C119" s="53">
        <v>2.5</v>
      </c>
      <c r="D119" s="49">
        <f t="shared" si="12"/>
        <v>1152.5</v>
      </c>
      <c r="E119" s="53">
        <v>2.5</v>
      </c>
    </row>
    <row r="120" spans="1:5" x14ac:dyDescent="0.3">
      <c r="A120" s="52" t="s">
        <v>63</v>
      </c>
      <c r="B120" s="49">
        <v>461</v>
      </c>
      <c r="C120" s="53">
        <v>2.33</v>
      </c>
      <c r="D120" s="49">
        <f t="shared" si="12"/>
        <v>1074.1300000000001</v>
      </c>
      <c r="E120" s="53">
        <v>2.33</v>
      </c>
    </row>
    <row r="121" spans="1:5" x14ac:dyDescent="0.3">
      <c r="A121" s="52" t="s">
        <v>77</v>
      </c>
      <c r="B121" s="49">
        <v>461</v>
      </c>
      <c r="C121" s="49">
        <v>0.75</v>
      </c>
      <c r="D121" s="49">
        <f t="shared" si="12"/>
        <v>345.75</v>
      </c>
      <c r="E121" s="53">
        <v>0.75</v>
      </c>
    </row>
    <row r="122" spans="1:5" x14ac:dyDescent="0.3">
      <c r="A122" s="52" t="s">
        <v>85</v>
      </c>
      <c r="B122" s="49">
        <v>461</v>
      </c>
      <c r="C122" s="49">
        <v>0.25</v>
      </c>
      <c r="D122" s="49">
        <f t="shared" si="12"/>
        <v>115.25</v>
      </c>
      <c r="E122" s="53">
        <v>0.25</v>
      </c>
    </row>
    <row r="123" spans="1:5" x14ac:dyDescent="0.3">
      <c r="A123" s="52" t="s">
        <v>88</v>
      </c>
      <c r="B123" s="49">
        <v>250</v>
      </c>
      <c r="C123" s="49">
        <v>0.79</v>
      </c>
      <c r="D123" s="49">
        <f t="shared" si="12"/>
        <v>197.5</v>
      </c>
      <c r="E123" s="53">
        <f>C123</f>
        <v>0.79</v>
      </c>
    </row>
    <row r="124" spans="1:5" x14ac:dyDescent="0.3">
      <c r="A124" s="52" t="s">
        <v>89</v>
      </c>
      <c r="B124" s="49">
        <v>250</v>
      </c>
      <c r="C124" s="76">
        <v>2</v>
      </c>
      <c r="D124" s="49">
        <f t="shared" si="12"/>
        <v>500</v>
      </c>
      <c r="E124" s="53">
        <f>C124</f>
        <v>2</v>
      </c>
    </row>
    <row r="125" spans="1:5" x14ac:dyDescent="0.3">
      <c r="A125" s="52" t="s">
        <v>145</v>
      </c>
      <c r="B125" s="49">
        <v>250</v>
      </c>
      <c r="C125" s="76"/>
      <c r="D125" s="49"/>
      <c r="E125" s="53"/>
    </row>
    <row r="126" spans="1:5" x14ac:dyDescent="0.3">
      <c r="A126" s="72" t="s">
        <v>41</v>
      </c>
      <c r="B126" s="73">
        <v>2</v>
      </c>
      <c r="C126" s="73"/>
      <c r="D126" s="73"/>
      <c r="E126" s="74"/>
    </row>
    <row r="127" spans="1:5" x14ac:dyDescent="0.3">
      <c r="A127" s="72" t="s">
        <v>42</v>
      </c>
      <c r="B127" s="73">
        <v>0</v>
      </c>
      <c r="C127" s="73"/>
      <c r="D127" s="73">
        <v>270.37</v>
      </c>
      <c r="E127" s="74">
        <f>D127/B119</f>
        <v>0.58648590021691971</v>
      </c>
    </row>
    <row r="128" spans="1:5" ht="14.5" thickBot="1" x14ac:dyDescent="0.35">
      <c r="A128" s="72" t="s">
        <v>43</v>
      </c>
      <c r="B128" s="73">
        <v>0</v>
      </c>
      <c r="C128" s="73"/>
      <c r="D128" s="73">
        <v>472</v>
      </c>
      <c r="E128" s="74">
        <f>D128/B119</f>
        <v>1.0238611713665944</v>
      </c>
    </row>
    <row r="129" spans="1:12" ht="14.5" thickBot="1" x14ac:dyDescent="0.35">
      <c r="A129" s="289" t="s">
        <v>44</v>
      </c>
      <c r="B129" s="290"/>
      <c r="C129" s="223">
        <f>SUM(C113:C128)</f>
        <v>746</v>
      </c>
      <c r="D129" s="223">
        <f>SUM(D113:D128)</f>
        <v>10503.680000000002</v>
      </c>
      <c r="E129" s="47">
        <f>SUM(E113:E128)</f>
        <v>21.561540130151844</v>
      </c>
    </row>
    <row r="130" spans="1:12" x14ac:dyDescent="0.3">
      <c r="A130" s="291" t="s">
        <v>59</v>
      </c>
      <c r="B130" s="292"/>
      <c r="C130" s="292"/>
      <c r="D130" s="293"/>
      <c r="E130" s="61">
        <v>189</v>
      </c>
    </row>
    <row r="131" spans="1:12" x14ac:dyDescent="0.3">
      <c r="A131" s="314" t="s">
        <v>60</v>
      </c>
      <c r="B131" s="315"/>
      <c r="C131" s="315"/>
      <c r="D131" s="316"/>
      <c r="E131" s="62">
        <f>E130-E129</f>
        <v>167.43845986984815</v>
      </c>
    </row>
    <row r="132" spans="1:12" x14ac:dyDescent="0.3">
      <c r="A132" s="314" t="s">
        <v>61</v>
      </c>
      <c r="B132" s="315"/>
      <c r="C132" s="315"/>
      <c r="D132" s="316"/>
      <c r="E132" s="63">
        <f>E130*B119</f>
        <v>87129</v>
      </c>
    </row>
    <row r="133" spans="1:12" ht="14.5" thickBot="1" x14ac:dyDescent="0.35">
      <c r="A133" s="280" t="s">
        <v>62</v>
      </c>
      <c r="B133" s="281"/>
      <c r="C133" s="281"/>
      <c r="D133" s="282"/>
      <c r="E133" s="77">
        <f>E132-D129</f>
        <v>76625.319999999992</v>
      </c>
    </row>
    <row r="136" spans="1:12" ht="14.5" thickBot="1" x14ac:dyDescent="0.35"/>
    <row r="137" spans="1:12" x14ac:dyDescent="0.3">
      <c r="A137" s="283" t="s">
        <v>174</v>
      </c>
      <c r="B137" s="284"/>
      <c r="C137" s="284"/>
      <c r="D137" s="284"/>
      <c r="E137" s="285"/>
      <c r="H137" s="283" t="s">
        <v>173</v>
      </c>
      <c r="I137" s="284"/>
      <c r="J137" s="284"/>
      <c r="K137" s="284"/>
      <c r="L137" s="285"/>
    </row>
    <row r="138" spans="1:12" ht="14.5" thickBot="1" x14ac:dyDescent="0.35">
      <c r="A138" s="286"/>
      <c r="B138" s="287"/>
      <c r="C138" s="287"/>
      <c r="D138" s="287"/>
      <c r="E138" s="288"/>
      <c r="H138" s="286"/>
      <c r="I138" s="287"/>
      <c r="J138" s="287"/>
      <c r="K138" s="287"/>
      <c r="L138" s="288"/>
    </row>
    <row r="139" spans="1:12" ht="14.5" thickBot="1" x14ac:dyDescent="0.35">
      <c r="A139" s="222" t="s">
        <v>35</v>
      </c>
      <c r="B139" s="223" t="s">
        <v>36</v>
      </c>
      <c r="C139" s="223" t="s">
        <v>37</v>
      </c>
      <c r="D139" s="223" t="s">
        <v>38</v>
      </c>
      <c r="E139" s="47" t="s">
        <v>58</v>
      </c>
      <c r="H139" s="222" t="s">
        <v>35</v>
      </c>
      <c r="I139" s="223" t="s">
        <v>36</v>
      </c>
      <c r="J139" s="223" t="s">
        <v>37</v>
      </c>
      <c r="K139" s="223" t="s">
        <v>38</v>
      </c>
      <c r="L139" s="47" t="s">
        <v>58</v>
      </c>
    </row>
    <row r="140" spans="1:12" x14ac:dyDescent="0.3">
      <c r="A140" s="69" t="s">
        <v>169</v>
      </c>
      <c r="B140" s="70" t="s">
        <v>180</v>
      </c>
      <c r="C140" s="70">
        <v>0.97</v>
      </c>
      <c r="D140" s="218">
        <v>487.37</v>
      </c>
      <c r="E140" s="71">
        <v>0.97</v>
      </c>
      <c r="H140" s="69" t="s">
        <v>177</v>
      </c>
      <c r="I140" s="70" t="s">
        <v>186</v>
      </c>
      <c r="J140" s="70">
        <v>0.35</v>
      </c>
      <c r="K140" s="218">
        <v>89.6</v>
      </c>
      <c r="L140" s="71">
        <v>0.35</v>
      </c>
    </row>
    <row r="141" spans="1:12" x14ac:dyDescent="0.3">
      <c r="A141" s="69" t="s">
        <v>168</v>
      </c>
      <c r="B141" s="70" t="s">
        <v>180</v>
      </c>
      <c r="C141" s="70">
        <v>0.54</v>
      </c>
      <c r="D141" s="218">
        <v>270.73</v>
      </c>
      <c r="E141" s="71">
        <v>0.54</v>
      </c>
      <c r="H141" s="69" t="s">
        <v>176</v>
      </c>
      <c r="I141" s="70" t="s">
        <v>185</v>
      </c>
      <c r="J141" s="70">
        <v>0.14000000000000001</v>
      </c>
      <c r="K141" s="218">
        <v>36.94</v>
      </c>
      <c r="L141" s="71">
        <v>0.14000000000000001</v>
      </c>
    </row>
    <row r="142" spans="1:12" x14ac:dyDescent="0.3">
      <c r="A142" s="69" t="s">
        <v>170</v>
      </c>
      <c r="B142" s="70" t="s">
        <v>181</v>
      </c>
      <c r="C142" s="70">
        <v>0.35</v>
      </c>
      <c r="D142" s="218">
        <v>176.85</v>
      </c>
      <c r="E142" s="71">
        <v>0.35</v>
      </c>
      <c r="H142" s="69" t="s">
        <v>175</v>
      </c>
      <c r="I142" s="70" t="s">
        <v>187</v>
      </c>
      <c r="J142" s="70">
        <v>0.1</v>
      </c>
      <c r="K142" s="218">
        <v>27.22</v>
      </c>
      <c r="L142" s="71">
        <v>0.1</v>
      </c>
    </row>
    <row r="143" spans="1:12" x14ac:dyDescent="0.3">
      <c r="A143" s="69" t="s">
        <v>179</v>
      </c>
      <c r="B143" s="70" t="s">
        <v>182</v>
      </c>
      <c r="C143" s="70">
        <v>0.38</v>
      </c>
      <c r="D143" s="218">
        <v>189.17</v>
      </c>
      <c r="E143" s="71">
        <v>0.38</v>
      </c>
      <c r="H143" s="52" t="s">
        <v>39</v>
      </c>
      <c r="I143" s="49">
        <v>750</v>
      </c>
      <c r="J143" s="49">
        <v>2</v>
      </c>
      <c r="K143" s="219">
        <f>J143*I143</f>
        <v>1500</v>
      </c>
      <c r="L143" s="53">
        <f>J143*3</f>
        <v>6</v>
      </c>
    </row>
    <row r="144" spans="1:12" x14ac:dyDescent="0.3">
      <c r="A144" s="69" t="s">
        <v>171</v>
      </c>
      <c r="B144" s="70" t="s">
        <v>184</v>
      </c>
      <c r="C144" s="70">
        <v>0.41</v>
      </c>
      <c r="D144" s="218">
        <v>203.53</v>
      </c>
      <c r="E144" s="71">
        <v>0.41</v>
      </c>
      <c r="H144" s="52" t="s">
        <v>97</v>
      </c>
      <c r="I144" s="49">
        <v>750</v>
      </c>
      <c r="J144" s="49">
        <v>0.5</v>
      </c>
      <c r="K144" s="219">
        <f>J144*I144</f>
        <v>375</v>
      </c>
      <c r="L144" s="53">
        <f>J144*3</f>
        <v>1.5</v>
      </c>
    </row>
    <row r="145" spans="1:12" x14ac:dyDescent="0.3">
      <c r="A145" s="69" t="s">
        <v>172</v>
      </c>
      <c r="B145" s="70" t="s">
        <v>183</v>
      </c>
      <c r="C145" s="70">
        <v>0.55000000000000004</v>
      </c>
      <c r="D145" s="218">
        <v>278.26</v>
      </c>
      <c r="E145" s="71">
        <v>0.55000000000000004</v>
      </c>
      <c r="H145" s="68" t="s">
        <v>40</v>
      </c>
      <c r="I145" s="76">
        <v>320</v>
      </c>
      <c r="J145" s="49">
        <v>2</v>
      </c>
      <c r="K145" s="219">
        <f t="shared" ref="K145:K146" si="13">J145*I145</f>
        <v>640</v>
      </c>
      <c r="L145" s="53">
        <f>J145</f>
        <v>2</v>
      </c>
    </row>
    <row r="146" spans="1:12" x14ac:dyDescent="0.3">
      <c r="A146" s="52" t="s">
        <v>39</v>
      </c>
      <c r="B146" s="49">
        <v>3000</v>
      </c>
      <c r="C146" s="49">
        <v>2</v>
      </c>
      <c r="D146" s="219">
        <f>C146*B146</f>
        <v>6000</v>
      </c>
      <c r="E146" s="53">
        <f>C146*6</f>
        <v>12</v>
      </c>
      <c r="H146" s="52" t="s">
        <v>178</v>
      </c>
      <c r="I146" s="49">
        <v>750</v>
      </c>
      <c r="J146" s="53">
        <v>0.79</v>
      </c>
      <c r="K146" s="219">
        <f t="shared" si="13"/>
        <v>592.5</v>
      </c>
      <c r="L146" s="53">
        <f>J146*3</f>
        <v>2.37</v>
      </c>
    </row>
    <row r="147" spans="1:12" x14ac:dyDescent="0.3">
      <c r="A147" s="52" t="s">
        <v>97</v>
      </c>
      <c r="B147" s="49">
        <v>1000</v>
      </c>
      <c r="C147" s="49">
        <v>0.5</v>
      </c>
      <c r="D147" s="219">
        <f>C147*B147</f>
        <v>500</v>
      </c>
      <c r="E147" s="53">
        <f>C147*2</f>
        <v>1</v>
      </c>
      <c r="H147" s="52"/>
      <c r="I147" s="49"/>
      <c r="J147" s="49"/>
      <c r="K147" s="219"/>
      <c r="L147" s="53"/>
    </row>
    <row r="148" spans="1:12" x14ac:dyDescent="0.3">
      <c r="A148" s="68" t="s">
        <v>40</v>
      </c>
      <c r="B148" s="76">
        <v>560</v>
      </c>
      <c r="C148" s="49">
        <v>2</v>
      </c>
      <c r="D148" s="219">
        <f t="shared" ref="D148:D149" si="14">C148*B148</f>
        <v>1120</v>
      </c>
      <c r="E148" s="53">
        <f>C148</f>
        <v>2</v>
      </c>
      <c r="H148" s="52"/>
      <c r="I148" s="49"/>
      <c r="J148" s="49"/>
      <c r="K148" s="219"/>
      <c r="L148" s="53"/>
    </row>
    <row r="149" spans="1:12" x14ac:dyDescent="0.3">
      <c r="A149" s="52" t="s">
        <v>178</v>
      </c>
      <c r="B149" s="49">
        <v>1000</v>
      </c>
      <c r="C149" s="53">
        <v>0.79</v>
      </c>
      <c r="D149" s="219">
        <f t="shared" si="14"/>
        <v>790</v>
      </c>
      <c r="E149" s="53">
        <f>C149*2</f>
        <v>1.58</v>
      </c>
      <c r="H149" s="52"/>
      <c r="I149" s="49"/>
      <c r="J149" s="53"/>
      <c r="K149" s="219"/>
      <c r="L149" s="53"/>
    </row>
    <row r="150" spans="1:12" x14ac:dyDescent="0.3">
      <c r="A150" s="72" t="s">
        <v>41</v>
      </c>
      <c r="B150" s="73">
        <v>2</v>
      </c>
      <c r="C150" s="73"/>
      <c r="D150" s="220"/>
      <c r="E150" s="74"/>
      <c r="H150" s="72" t="s">
        <v>41</v>
      </c>
      <c r="I150" s="73">
        <v>2</v>
      </c>
      <c r="J150" s="73"/>
      <c r="K150" s="220"/>
      <c r="L150" s="74"/>
    </row>
    <row r="151" spans="1:12" x14ac:dyDescent="0.3">
      <c r="A151" s="72" t="s">
        <v>42</v>
      </c>
      <c r="B151" s="73">
        <v>0</v>
      </c>
      <c r="C151" s="73"/>
      <c r="D151" s="220"/>
      <c r="E151" s="74">
        <f>D151/B149</f>
        <v>0</v>
      </c>
      <c r="H151" s="72" t="s">
        <v>42</v>
      </c>
      <c r="I151" s="73">
        <v>0</v>
      </c>
      <c r="J151" s="73"/>
      <c r="K151" s="220"/>
      <c r="L151" s="74"/>
    </row>
    <row r="152" spans="1:12" ht="14.5" thickBot="1" x14ac:dyDescent="0.35">
      <c r="A152" s="72" t="s">
        <v>43</v>
      </c>
      <c r="B152" s="73">
        <v>0</v>
      </c>
      <c r="C152" s="73"/>
      <c r="D152" s="220"/>
      <c r="E152" s="74"/>
      <c r="H152" s="72" t="s">
        <v>43</v>
      </c>
      <c r="I152" s="73">
        <v>0</v>
      </c>
      <c r="J152" s="73"/>
      <c r="K152" s="220"/>
      <c r="L152" s="74"/>
    </row>
    <row r="153" spans="1:12" ht="14.5" thickBot="1" x14ac:dyDescent="0.35">
      <c r="A153" s="289" t="s">
        <v>44</v>
      </c>
      <c r="B153" s="290"/>
      <c r="C153" s="223">
        <f>SUM(C140:C152)</f>
        <v>8.49</v>
      </c>
      <c r="D153" s="221">
        <f>SUM(D140:D152)</f>
        <v>10015.91</v>
      </c>
      <c r="E153" s="47">
        <f>SUM(E140:E152)</f>
        <v>19.78</v>
      </c>
      <c r="H153" s="289" t="s">
        <v>44</v>
      </c>
      <c r="I153" s="290"/>
      <c r="J153" s="223">
        <f>SUM(J140:J152)</f>
        <v>5.88</v>
      </c>
      <c r="K153" s="221">
        <f>SUM(K140:K152)</f>
        <v>3261.26</v>
      </c>
      <c r="L153" s="47">
        <f>SUM(L140:L152)</f>
        <v>12.46</v>
      </c>
    </row>
    <row r="154" spans="1:12" x14ac:dyDescent="0.3">
      <c r="A154" s="291" t="s">
        <v>59</v>
      </c>
      <c r="B154" s="292"/>
      <c r="C154" s="292"/>
      <c r="D154" s="293"/>
      <c r="E154" s="61"/>
      <c r="H154" s="291" t="s">
        <v>59</v>
      </c>
      <c r="I154" s="292"/>
      <c r="J154" s="292"/>
      <c r="K154" s="293"/>
      <c r="L154" s="61"/>
    </row>
    <row r="155" spans="1:12" x14ac:dyDescent="0.3">
      <c r="A155" s="314" t="s">
        <v>60</v>
      </c>
      <c r="B155" s="315"/>
      <c r="C155" s="315"/>
      <c r="D155" s="316"/>
      <c r="E155" s="62"/>
      <c r="H155" s="314" t="s">
        <v>60</v>
      </c>
      <c r="I155" s="315"/>
      <c r="J155" s="315"/>
      <c r="K155" s="316"/>
      <c r="L155" s="62"/>
    </row>
    <row r="156" spans="1:12" x14ac:dyDescent="0.3">
      <c r="A156" s="314" t="s">
        <v>61</v>
      </c>
      <c r="B156" s="315"/>
      <c r="C156" s="315"/>
      <c r="D156" s="316"/>
      <c r="E156" s="63">
        <f>E154*B149</f>
        <v>0</v>
      </c>
      <c r="H156" s="314" t="s">
        <v>61</v>
      </c>
      <c r="I156" s="315"/>
      <c r="J156" s="315"/>
      <c r="K156" s="316"/>
      <c r="L156" s="63">
        <f>L154*I149</f>
        <v>0</v>
      </c>
    </row>
    <row r="157" spans="1:12" ht="14.5" thickBot="1" x14ac:dyDescent="0.35">
      <c r="A157" s="280" t="s">
        <v>62</v>
      </c>
      <c r="B157" s="281"/>
      <c r="C157" s="281"/>
      <c r="D157" s="282"/>
      <c r="E157" s="77"/>
      <c r="H157" s="280" t="s">
        <v>62</v>
      </c>
      <c r="I157" s="281"/>
      <c r="J157" s="281"/>
      <c r="K157" s="282"/>
      <c r="L157" s="77"/>
    </row>
    <row r="161" spans="1:4" ht="14.5" thickBot="1" x14ac:dyDescent="0.35"/>
    <row r="162" spans="1:4" ht="14.5" thickBot="1" x14ac:dyDescent="0.35">
      <c r="A162" s="317" t="s">
        <v>140</v>
      </c>
      <c r="B162" s="318"/>
      <c r="C162" s="318"/>
      <c r="D162" s="319"/>
    </row>
    <row r="163" spans="1:4" ht="14.5" thickBot="1" x14ac:dyDescent="0.35">
      <c r="A163" s="268" t="s">
        <v>35</v>
      </c>
      <c r="B163" s="269" t="s">
        <v>146</v>
      </c>
      <c r="C163" s="269" t="s">
        <v>147</v>
      </c>
      <c r="D163" s="270" t="s">
        <v>148</v>
      </c>
    </row>
    <row r="164" spans="1:4" x14ac:dyDescent="0.3">
      <c r="A164" s="234" t="s">
        <v>141</v>
      </c>
      <c r="B164" s="260">
        <v>5000</v>
      </c>
      <c r="C164" s="260">
        <v>1475</v>
      </c>
      <c r="D164" s="260">
        <f>C164/B164</f>
        <v>0.29499999999999998</v>
      </c>
    </row>
    <row r="165" spans="1:4" x14ac:dyDescent="0.3">
      <c r="A165" s="171" t="s">
        <v>142</v>
      </c>
      <c r="B165" s="171">
        <v>990</v>
      </c>
      <c r="C165" s="171">
        <v>7425</v>
      </c>
      <c r="D165" s="171">
        <f>C165/B165</f>
        <v>7.5</v>
      </c>
    </row>
    <row r="166" spans="1:4" x14ac:dyDescent="0.3">
      <c r="A166" s="171" t="s">
        <v>167</v>
      </c>
      <c r="B166" s="171">
        <v>247</v>
      </c>
      <c r="C166" s="171">
        <v>988</v>
      </c>
      <c r="D166" s="171">
        <f t="shared" ref="D166:D168" si="15">C166/B166</f>
        <v>4</v>
      </c>
    </row>
    <row r="167" spans="1:4" x14ac:dyDescent="0.3">
      <c r="A167" s="171" t="s">
        <v>143</v>
      </c>
      <c r="B167" s="171">
        <v>1000</v>
      </c>
      <c r="C167" s="171"/>
      <c r="D167" s="171">
        <f t="shared" si="15"/>
        <v>0</v>
      </c>
    </row>
    <row r="168" spans="1:4" x14ac:dyDescent="0.3">
      <c r="A168" s="171" t="s">
        <v>144</v>
      </c>
      <c r="B168" s="171">
        <v>975</v>
      </c>
      <c r="C168" s="171">
        <v>487.5</v>
      </c>
      <c r="D168" s="171">
        <f t="shared" si="15"/>
        <v>0.5</v>
      </c>
    </row>
    <row r="169" spans="1:4" x14ac:dyDescent="0.3">
      <c r="A169" s="171"/>
      <c r="B169" s="171"/>
      <c r="C169" s="171"/>
      <c r="D169" s="171"/>
    </row>
    <row r="170" spans="1:4" x14ac:dyDescent="0.3">
      <c r="A170" s="171"/>
      <c r="B170" s="171"/>
      <c r="C170" s="171"/>
      <c r="D170" s="171"/>
    </row>
    <row r="171" spans="1:4" x14ac:dyDescent="0.3">
      <c r="A171" s="171"/>
      <c r="B171" s="171"/>
      <c r="C171" s="171"/>
      <c r="D171" s="171"/>
    </row>
    <row r="172" spans="1:4" x14ac:dyDescent="0.3">
      <c r="A172" s="171"/>
      <c r="B172" s="171"/>
      <c r="C172" s="171"/>
      <c r="D172" s="171">
        <f>SUM(D164:D171)</f>
        <v>12.295</v>
      </c>
    </row>
  </sheetData>
  <mergeCells count="68">
    <mergeCell ref="A22:D22"/>
    <mergeCell ref="C1:J2"/>
    <mergeCell ref="A4:E5"/>
    <mergeCell ref="H4:L5"/>
    <mergeCell ref="A20:B20"/>
    <mergeCell ref="A21:D21"/>
    <mergeCell ref="A49:D49"/>
    <mergeCell ref="H49:K49"/>
    <mergeCell ref="A23:D23"/>
    <mergeCell ref="H23:I23"/>
    <mergeCell ref="A24:D24"/>
    <mergeCell ref="H24:K24"/>
    <mergeCell ref="H25:K25"/>
    <mergeCell ref="H26:K26"/>
    <mergeCell ref="H27:K27"/>
    <mergeCell ref="A29:E30"/>
    <mergeCell ref="H29:L30"/>
    <mergeCell ref="A48:B48"/>
    <mergeCell ref="H48:I48"/>
    <mergeCell ref="A50:D50"/>
    <mergeCell ref="H50:K50"/>
    <mergeCell ref="A51:D51"/>
    <mergeCell ref="H51:K51"/>
    <mergeCell ref="A52:D52"/>
    <mergeCell ref="H52:K52"/>
    <mergeCell ref="H104:K104"/>
    <mergeCell ref="H105:K105"/>
    <mergeCell ref="H106:K106"/>
    <mergeCell ref="A57:E58"/>
    <mergeCell ref="H57:L58"/>
    <mergeCell ref="A77:B77"/>
    <mergeCell ref="H77:I77"/>
    <mergeCell ref="A78:D78"/>
    <mergeCell ref="H78:K78"/>
    <mergeCell ref="A79:D79"/>
    <mergeCell ref="H79:K79"/>
    <mergeCell ref="A80:D80"/>
    <mergeCell ref="H80:K80"/>
    <mergeCell ref="A84:E85"/>
    <mergeCell ref="H84:L85"/>
    <mergeCell ref="A162:D162"/>
    <mergeCell ref="A107:D107"/>
    <mergeCell ref="H107:K107"/>
    <mergeCell ref="A133:D133"/>
    <mergeCell ref="A81:D81"/>
    <mergeCell ref="H81:K81"/>
    <mergeCell ref="A110:E111"/>
    <mergeCell ref="A129:B129"/>
    <mergeCell ref="A130:D130"/>
    <mergeCell ref="A131:D131"/>
    <mergeCell ref="A132:D132"/>
    <mergeCell ref="A104:D104"/>
    <mergeCell ref="A105:D105"/>
    <mergeCell ref="A106:D106"/>
    <mergeCell ref="A103:B103"/>
    <mergeCell ref="H103:I103"/>
    <mergeCell ref="A157:D157"/>
    <mergeCell ref="H137:L138"/>
    <mergeCell ref="H153:I153"/>
    <mergeCell ref="H154:K154"/>
    <mergeCell ref="H155:K155"/>
    <mergeCell ref="H156:K156"/>
    <mergeCell ref="H157:K157"/>
    <mergeCell ref="A137:E138"/>
    <mergeCell ref="A153:B153"/>
    <mergeCell ref="A154:D154"/>
    <mergeCell ref="A155:D155"/>
    <mergeCell ref="A156:D15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C098-900B-4040-863A-51278F53B762}">
  <dimension ref="A1:I77"/>
  <sheetViews>
    <sheetView rightToLeft="1" topLeftCell="C1" zoomScale="90" zoomScaleNormal="90" workbookViewId="0">
      <selection activeCell="F25" sqref="F25"/>
    </sheetView>
  </sheetViews>
  <sheetFormatPr defaultRowHeight="14" x14ac:dyDescent="0.3"/>
  <cols>
    <col min="1" max="2" width="14.6640625" bestFit="1" customWidth="1"/>
    <col min="3" max="3" width="27.83203125" bestFit="1" customWidth="1"/>
    <col min="4" max="4" width="11.08203125" bestFit="1" customWidth="1"/>
    <col min="6" max="7" width="18.1640625" customWidth="1"/>
    <col min="8" max="8" width="16.4140625" customWidth="1"/>
  </cols>
  <sheetData>
    <row r="1" spans="1:9" ht="19.25" customHeight="1" thickBot="1" x14ac:dyDescent="0.35">
      <c r="A1" s="332" t="s">
        <v>195</v>
      </c>
      <c r="B1" s="333"/>
      <c r="C1" s="1"/>
    </row>
    <row r="2" spans="1:9" ht="16.75" customHeight="1" x14ac:dyDescent="0.3">
      <c r="C2" s="329" t="s">
        <v>203</v>
      </c>
      <c r="D2" s="330"/>
      <c r="E2" s="330"/>
      <c r="F2" s="330"/>
      <c r="G2" s="330"/>
      <c r="H2" s="331"/>
    </row>
    <row r="3" spans="1:9" ht="14.5" thickBot="1" x14ac:dyDescent="0.35">
      <c r="A3" s="143" t="s">
        <v>1</v>
      </c>
      <c r="B3" s="144"/>
      <c r="C3" s="241" t="s">
        <v>4</v>
      </c>
      <c r="D3" s="242" t="s">
        <v>5</v>
      </c>
      <c r="E3" s="242" t="s">
        <v>12</v>
      </c>
      <c r="F3" s="242" t="s">
        <v>201</v>
      </c>
      <c r="G3" s="242" t="s">
        <v>64</v>
      </c>
      <c r="H3" s="243" t="s">
        <v>204</v>
      </c>
      <c r="I3" s="229"/>
    </row>
    <row r="4" spans="1:9" x14ac:dyDescent="0.3">
      <c r="A4" s="143"/>
      <c r="B4" s="144"/>
      <c r="C4" s="253" t="s">
        <v>213</v>
      </c>
      <c r="D4" s="245">
        <v>10120</v>
      </c>
      <c r="E4" s="245"/>
      <c r="F4" s="245"/>
      <c r="G4" s="245" t="s">
        <v>202</v>
      </c>
      <c r="H4" s="246" t="s">
        <v>206</v>
      </c>
      <c r="I4" s="229"/>
    </row>
    <row r="5" spans="1:9" x14ac:dyDescent="0.3">
      <c r="A5" s="143"/>
      <c r="B5" s="144"/>
      <c r="C5" s="254" t="s">
        <v>214</v>
      </c>
      <c r="D5" s="247">
        <v>1000</v>
      </c>
      <c r="E5" s="247"/>
      <c r="F5" s="247"/>
      <c r="G5" s="247" t="s">
        <v>202</v>
      </c>
      <c r="H5" s="248" t="s">
        <v>206</v>
      </c>
      <c r="I5" s="229"/>
    </row>
    <row r="6" spans="1:9" x14ac:dyDescent="0.3">
      <c r="A6" s="143" t="s">
        <v>31</v>
      </c>
      <c r="B6" s="144">
        <v>216.13</v>
      </c>
      <c r="C6" s="254" t="s">
        <v>196</v>
      </c>
      <c r="D6" s="261">
        <v>371</v>
      </c>
      <c r="E6" s="247"/>
      <c r="F6" s="249"/>
      <c r="G6" s="249" t="s">
        <v>202</v>
      </c>
      <c r="H6" s="250" t="s">
        <v>74</v>
      </c>
    </row>
    <row r="7" spans="1:9" x14ac:dyDescent="0.3">
      <c r="A7" s="143"/>
      <c r="B7" s="144"/>
      <c r="C7" s="254" t="s">
        <v>33</v>
      </c>
      <c r="D7" s="261">
        <v>216.13</v>
      </c>
      <c r="E7" s="247"/>
      <c r="F7" s="249"/>
      <c r="G7" s="249" t="s">
        <v>202</v>
      </c>
      <c r="H7" s="250" t="s">
        <v>205</v>
      </c>
    </row>
    <row r="8" spans="1:9" x14ac:dyDescent="0.3">
      <c r="A8" s="143"/>
      <c r="B8" s="144"/>
      <c r="C8" s="254" t="s">
        <v>197</v>
      </c>
      <c r="D8" s="247"/>
      <c r="E8" s="247"/>
      <c r="F8" s="249"/>
      <c r="G8" s="249" t="s">
        <v>202</v>
      </c>
      <c r="H8" s="250" t="s">
        <v>74</v>
      </c>
    </row>
    <row r="9" spans="1:9" x14ac:dyDescent="0.3">
      <c r="A9" s="143" t="s">
        <v>2</v>
      </c>
      <c r="B9" s="144"/>
      <c r="C9" s="254" t="s">
        <v>2</v>
      </c>
      <c r="D9" s="247"/>
      <c r="E9" s="247"/>
      <c r="F9" s="249"/>
      <c r="G9" s="249" t="s">
        <v>202</v>
      </c>
      <c r="H9" s="250" t="s">
        <v>74</v>
      </c>
    </row>
    <row r="10" spans="1:9" x14ac:dyDescent="0.3">
      <c r="A10" s="143" t="s">
        <v>102</v>
      </c>
      <c r="B10" s="144"/>
      <c r="C10" s="254" t="s">
        <v>198</v>
      </c>
      <c r="D10" s="247"/>
      <c r="E10" s="247"/>
      <c r="F10" s="249"/>
      <c r="G10" s="249" t="s">
        <v>202</v>
      </c>
      <c r="H10" s="250" t="s">
        <v>74</v>
      </c>
    </row>
    <row r="11" spans="1:9" x14ac:dyDescent="0.3">
      <c r="A11" s="143"/>
      <c r="B11" s="144"/>
      <c r="C11" s="254" t="s">
        <v>73</v>
      </c>
      <c r="D11" s="247"/>
      <c r="E11" s="247"/>
      <c r="F11" s="249"/>
      <c r="G11" s="249" t="s">
        <v>202</v>
      </c>
      <c r="H11" s="250" t="s">
        <v>206</v>
      </c>
    </row>
    <row r="12" spans="1:9" x14ac:dyDescent="0.3">
      <c r="A12" s="143"/>
      <c r="B12" s="144"/>
      <c r="C12" s="254" t="s">
        <v>199</v>
      </c>
      <c r="D12" s="247"/>
      <c r="E12" s="247"/>
      <c r="F12" s="249"/>
      <c r="G12" s="249" t="s">
        <v>202</v>
      </c>
      <c r="H12" s="250" t="s">
        <v>74</v>
      </c>
    </row>
    <row r="13" spans="1:9" x14ac:dyDescent="0.3">
      <c r="A13" s="143"/>
      <c r="B13" s="144"/>
      <c r="C13" s="254" t="s">
        <v>200</v>
      </c>
      <c r="D13" s="247"/>
      <c r="E13" s="247"/>
      <c r="F13" s="249"/>
      <c r="G13" s="249" t="s">
        <v>202</v>
      </c>
      <c r="H13" s="250" t="s">
        <v>74</v>
      </c>
    </row>
    <row r="14" spans="1:9" x14ac:dyDescent="0.3">
      <c r="A14" s="143"/>
      <c r="B14" s="144"/>
      <c r="C14" s="254" t="s">
        <v>207</v>
      </c>
      <c r="D14" s="247"/>
      <c r="E14" s="247"/>
      <c r="F14" s="249"/>
      <c r="G14" s="249" t="s">
        <v>202</v>
      </c>
      <c r="H14" s="250" t="s">
        <v>193</v>
      </c>
    </row>
    <row r="15" spans="1:9" x14ac:dyDescent="0.3">
      <c r="A15" s="143"/>
      <c r="B15" s="144"/>
      <c r="C15" s="254" t="s">
        <v>157</v>
      </c>
      <c r="D15" s="247">
        <v>20000</v>
      </c>
      <c r="E15" s="247"/>
      <c r="F15" s="249"/>
      <c r="G15" s="249" t="s">
        <v>202</v>
      </c>
      <c r="H15" s="250" t="s">
        <v>216</v>
      </c>
    </row>
    <row r="16" spans="1:9" x14ac:dyDescent="0.3">
      <c r="A16" s="143"/>
      <c r="B16" s="144"/>
      <c r="C16" s="254" t="s">
        <v>215</v>
      </c>
      <c r="D16" s="247">
        <v>5000</v>
      </c>
      <c r="E16" s="247"/>
      <c r="F16" s="249"/>
      <c r="G16" s="249" t="s">
        <v>202</v>
      </c>
      <c r="H16" s="250" t="s">
        <v>216</v>
      </c>
    </row>
    <row r="17" spans="1:8" x14ac:dyDescent="0.3">
      <c r="A17" s="143"/>
      <c r="B17" s="144"/>
      <c r="C17" s="262" t="s">
        <v>191</v>
      </c>
      <c r="D17" s="267">
        <v>46625</v>
      </c>
      <c r="E17" s="267">
        <v>10000</v>
      </c>
      <c r="F17" s="249"/>
      <c r="G17" s="257" t="s">
        <v>217</v>
      </c>
      <c r="H17" s="250" t="s">
        <v>216</v>
      </c>
    </row>
    <row r="18" spans="1:8" ht="14.5" thickBot="1" x14ac:dyDescent="0.35">
      <c r="A18" s="143"/>
      <c r="B18" s="144"/>
      <c r="C18" s="262" t="s">
        <v>10</v>
      </c>
      <c r="D18" s="263">
        <v>200000</v>
      </c>
      <c r="E18" s="263"/>
      <c r="F18" s="258"/>
      <c r="G18" s="257" t="s">
        <v>217</v>
      </c>
      <c r="H18" s="252" t="s">
        <v>208</v>
      </c>
    </row>
    <row r="19" spans="1:8" ht="14.5" thickBot="1" x14ac:dyDescent="0.35">
      <c r="A19" s="143"/>
      <c r="B19" s="144"/>
      <c r="C19" s="264" t="s">
        <v>26</v>
      </c>
      <c r="D19" s="265">
        <v>127799</v>
      </c>
      <c r="E19" s="266">
        <v>5000</v>
      </c>
      <c r="F19" s="251"/>
      <c r="G19" s="251" t="s">
        <v>202</v>
      </c>
      <c r="H19" s="252" t="s">
        <v>208</v>
      </c>
    </row>
    <row r="20" spans="1:8" x14ac:dyDescent="0.3">
      <c r="A20" s="143" t="s">
        <v>45</v>
      </c>
      <c r="B20" s="144"/>
    </row>
    <row r="21" spans="1:8" x14ac:dyDescent="0.3">
      <c r="A21" s="143" t="s">
        <v>110</v>
      </c>
      <c r="B21" s="144">
        <v>20</v>
      </c>
    </row>
    <row r="22" spans="1:8" x14ac:dyDescent="0.3">
      <c r="A22" s="143" t="s">
        <v>111</v>
      </c>
      <c r="B22" s="144">
        <v>371</v>
      </c>
      <c r="C22" s="1"/>
    </row>
    <row r="23" spans="1:8" x14ac:dyDescent="0.3">
      <c r="A23" s="143" t="s">
        <v>65</v>
      </c>
      <c r="B23" s="144"/>
      <c r="C23" s="1"/>
    </row>
    <row r="24" spans="1:8" x14ac:dyDescent="0.3">
      <c r="A24" s="143" t="s">
        <v>73</v>
      </c>
      <c r="B24" s="144"/>
      <c r="C24" s="1"/>
    </row>
    <row r="25" spans="1:8" ht="14.5" thickBot="1" x14ac:dyDescent="0.35">
      <c r="A25" s="143" t="s">
        <v>75</v>
      </c>
      <c r="B25" s="144"/>
      <c r="C25" s="1"/>
    </row>
    <row r="26" spans="1:8" ht="14.5" thickBot="1" x14ac:dyDescent="0.35">
      <c r="A26" s="145" t="s">
        <v>83</v>
      </c>
      <c r="B26" s="146"/>
      <c r="C26" s="329" t="s">
        <v>209</v>
      </c>
      <c r="D26" s="330"/>
      <c r="E26" s="330"/>
      <c r="F26" s="330"/>
      <c r="G26" s="330"/>
      <c r="H26" s="331"/>
    </row>
    <row r="27" spans="1:8" ht="18.649999999999999" customHeight="1" thickBot="1" x14ac:dyDescent="0.35">
      <c r="A27" s="78" t="s">
        <v>11</v>
      </c>
      <c r="B27" s="142">
        <f>SUM(B3:B21)</f>
        <v>236.13</v>
      </c>
      <c r="C27" s="236" t="s">
        <v>4</v>
      </c>
      <c r="D27" s="237" t="s">
        <v>5</v>
      </c>
      <c r="E27" s="237" t="s">
        <v>12</v>
      </c>
      <c r="F27" s="237" t="s">
        <v>201</v>
      </c>
      <c r="G27" s="237" t="s">
        <v>64</v>
      </c>
      <c r="H27" s="238" t="s">
        <v>204</v>
      </c>
    </row>
    <row r="28" spans="1:8" ht="21.65" customHeight="1" thickBot="1" x14ac:dyDescent="0.35">
      <c r="A28" s="1"/>
      <c r="B28" s="66"/>
      <c r="C28" s="239" t="s">
        <v>133</v>
      </c>
      <c r="D28" s="255">
        <v>1404</v>
      </c>
      <c r="E28" s="234"/>
      <c r="F28" s="234"/>
      <c r="G28" s="234" t="s">
        <v>202</v>
      </c>
      <c r="H28" s="235" t="s">
        <v>66</v>
      </c>
    </row>
    <row r="29" spans="1:8" ht="20.399999999999999" customHeight="1" thickBot="1" x14ac:dyDescent="0.35">
      <c r="A29" s="334" t="s">
        <v>0</v>
      </c>
      <c r="B29" s="335"/>
      <c r="C29" s="240" t="s">
        <v>210</v>
      </c>
      <c r="D29" s="244"/>
      <c r="E29" s="171"/>
      <c r="F29" s="171"/>
      <c r="G29" s="171"/>
      <c r="H29" s="235" t="s">
        <v>66</v>
      </c>
    </row>
    <row r="30" spans="1:8" ht="15.65" customHeight="1" thickBot="1" x14ac:dyDescent="0.35">
      <c r="A30" s="24" t="s">
        <v>6</v>
      </c>
      <c r="B30" s="24" t="s">
        <v>5</v>
      </c>
      <c r="C30" s="240" t="s">
        <v>211</v>
      </c>
      <c r="D30" s="244"/>
      <c r="E30" s="171"/>
      <c r="F30" s="171"/>
      <c r="G30" s="171"/>
      <c r="H30" s="235" t="s">
        <v>66</v>
      </c>
    </row>
    <row r="31" spans="1:8" x14ac:dyDescent="0.3">
      <c r="A31" s="19"/>
      <c r="B31" s="20"/>
      <c r="C31" s="240"/>
      <c r="D31" s="244"/>
      <c r="E31" s="171"/>
      <c r="F31" s="171"/>
      <c r="G31" s="171"/>
      <c r="H31" s="232"/>
    </row>
    <row r="32" spans="1:8" x14ac:dyDescent="0.3">
      <c r="A32" s="21"/>
      <c r="B32" s="22"/>
      <c r="C32" s="240"/>
      <c r="D32" s="244"/>
      <c r="E32" s="171"/>
      <c r="F32" s="171"/>
      <c r="G32" s="171"/>
      <c r="H32" s="232"/>
    </row>
    <row r="33" spans="1:8" x14ac:dyDescent="0.3">
      <c r="A33" s="21"/>
      <c r="B33" s="22"/>
      <c r="C33" s="240"/>
      <c r="D33" s="244"/>
      <c r="E33" s="171"/>
      <c r="F33" s="171"/>
      <c r="G33" s="171"/>
      <c r="H33" s="232"/>
    </row>
    <row r="34" spans="1:8" x14ac:dyDescent="0.3">
      <c r="A34" s="21"/>
      <c r="B34" s="22"/>
      <c r="C34" s="240"/>
      <c r="D34" s="244"/>
      <c r="E34" s="171"/>
      <c r="F34" s="171"/>
      <c r="G34" s="171"/>
      <c r="H34" s="232"/>
    </row>
    <row r="35" spans="1:8" ht="14.5" thickBot="1" x14ac:dyDescent="0.35">
      <c r="A35" s="25"/>
      <c r="B35" s="26"/>
      <c r="C35" s="230"/>
      <c r="D35" s="256"/>
      <c r="E35" s="231"/>
      <c r="F35" s="231"/>
      <c r="G35" s="231"/>
      <c r="H35" s="233"/>
    </row>
    <row r="36" spans="1:8" x14ac:dyDescent="0.3">
      <c r="A36" s="25"/>
      <c r="B36" s="26"/>
      <c r="C36" s="1"/>
    </row>
    <row r="37" spans="1:8" x14ac:dyDescent="0.3">
      <c r="A37" s="25"/>
      <c r="B37" s="26"/>
      <c r="C37" s="1"/>
    </row>
    <row r="38" spans="1:8" ht="14.5" thickBot="1" x14ac:dyDescent="0.35">
      <c r="A38" s="25"/>
      <c r="B38" s="26"/>
      <c r="C38" s="1"/>
    </row>
    <row r="39" spans="1:8" ht="23.4" customHeight="1" thickBot="1" x14ac:dyDescent="0.35">
      <c r="A39" s="27" t="s">
        <v>11</v>
      </c>
      <c r="B39" s="28">
        <f>SUM(B31:B38)</f>
        <v>0</v>
      </c>
      <c r="C39" s="1"/>
    </row>
    <row r="40" spans="1:8" ht="19.75" customHeight="1" thickBot="1" x14ac:dyDescent="0.35">
      <c r="A40" s="12"/>
      <c r="B40" s="12"/>
    </row>
    <row r="41" spans="1:8" ht="20.399999999999999" customHeight="1" thickBot="1" x14ac:dyDescent="0.35">
      <c r="A41" s="24" t="s">
        <v>4</v>
      </c>
      <c r="B41" s="24" t="s">
        <v>5</v>
      </c>
    </row>
    <row r="42" spans="1:8" x14ac:dyDescent="0.3">
      <c r="A42" s="19" t="s">
        <v>191</v>
      </c>
      <c r="B42" s="20">
        <v>46625</v>
      </c>
      <c r="C42" s="329" t="s">
        <v>212</v>
      </c>
      <c r="D42" s="330"/>
      <c r="E42" s="330"/>
      <c r="F42" s="330"/>
      <c r="G42" s="330"/>
      <c r="H42" s="331"/>
    </row>
    <row r="43" spans="1:8" ht="14.5" thickBot="1" x14ac:dyDescent="0.35">
      <c r="A43" s="21" t="s">
        <v>26</v>
      </c>
      <c r="B43" s="20">
        <v>127799</v>
      </c>
      <c r="C43" s="236" t="s">
        <v>4</v>
      </c>
      <c r="D43" s="237" t="s">
        <v>5</v>
      </c>
      <c r="E43" s="237" t="s">
        <v>12</v>
      </c>
      <c r="F43" s="237" t="s">
        <v>201</v>
      </c>
      <c r="G43" s="237" t="s">
        <v>64</v>
      </c>
      <c r="H43" s="238" t="s">
        <v>204</v>
      </c>
    </row>
    <row r="44" spans="1:8" ht="14.5" thickBot="1" x14ac:dyDescent="0.35">
      <c r="A44" s="21" t="s">
        <v>192</v>
      </c>
      <c r="B44" s="22">
        <v>200000</v>
      </c>
      <c r="C44" s="17" t="s">
        <v>8</v>
      </c>
      <c r="D44" s="18">
        <v>115000</v>
      </c>
      <c r="E44" s="171"/>
      <c r="F44" s="171"/>
      <c r="G44" s="224" t="s">
        <v>217</v>
      </c>
      <c r="H44" s="232"/>
    </row>
    <row r="45" spans="1:8" ht="14.5" thickBot="1" x14ac:dyDescent="0.35">
      <c r="A45" s="21"/>
      <c r="B45" s="259"/>
      <c r="C45" s="17" t="s">
        <v>9</v>
      </c>
      <c r="D45" s="18">
        <v>200000</v>
      </c>
      <c r="E45" s="171"/>
      <c r="F45" s="171"/>
      <c r="G45" s="224" t="s">
        <v>217</v>
      </c>
      <c r="H45" s="232"/>
    </row>
    <row r="46" spans="1:8" ht="14.5" thickBot="1" x14ac:dyDescent="0.35">
      <c r="C46" s="17" t="s">
        <v>28</v>
      </c>
      <c r="D46" s="18">
        <v>24045</v>
      </c>
      <c r="E46" s="171"/>
      <c r="F46" s="171"/>
      <c r="G46" s="224" t="s">
        <v>217</v>
      </c>
      <c r="H46" s="232"/>
    </row>
    <row r="47" spans="1:8" ht="14.5" thickBot="1" x14ac:dyDescent="0.35">
      <c r="C47" s="17" t="s">
        <v>7</v>
      </c>
      <c r="D47" s="18">
        <v>315000</v>
      </c>
      <c r="E47" s="234"/>
      <c r="F47" s="234"/>
      <c r="G47" s="260" t="s">
        <v>217</v>
      </c>
      <c r="H47" s="235"/>
    </row>
    <row r="48" spans="1:8" ht="14.5" thickBot="1" x14ac:dyDescent="0.35">
      <c r="C48" s="17" t="s">
        <v>27</v>
      </c>
      <c r="D48" s="18">
        <v>345000</v>
      </c>
      <c r="E48" s="171"/>
      <c r="F48" s="171"/>
      <c r="G48" s="224" t="s">
        <v>217</v>
      </c>
      <c r="H48" s="232"/>
    </row>
    <row r="77" spans="1:1" x14ac:dyDescent="0.3">
      <c r="A77" t="s">
        <v>59</v>
      </c>
    </row>
  </sheetData>
  <mergeCells count="5">
    <mergeCell ref="C2:H2"/>
    <mergeCell ref="C26:H26"/>
    <mergeCell ref="C42:H42"/>
    <mergeCell ref="A1:B1"/>
    <mergeCell ref="A29:B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9967-D423-4732-B12F-ACCF5324A4E4}">
  <dimension ref="A1:O129"/>
  <sheetViews>
    <sheetView rightToLeft="1" topLeftCell="A73" zoomScale="80" zoomScaleNormal="80" workbookViewId="0">
      <selection activeCell="H95" sqref="H95"/>
    </sheetView>
  </sheetViews>
  <sheetFormatPr defaultRowHeight="14" x14ac:dyDescent="0.3"/>
  <cols>
    <col min="1" max="1" width="22.4140625" bestFit="1" customWidth="1"/>
    <col min="2" max="2" width="16.5" style="1" customWidth="1"/>
    <col min="3" max="3" width="13.9140625" customWidth="1"/>
    <col min="4" max="4" width="14" bestFit="1" customWidth="1"/>
    <col min="5" max="5" width="14.08203125" bestFit="1" customWidth="1"/>
    <col min="6" max="7" width="14" bestFit="1" customWidth="1"/>
    <col min="8" max="8" width="15" bestFit="1" customWidth="1"/>
    <col min="9" max="9" width="13.9140625" customWidth="1"/>
    <col min="10" max="10" width="15.08203125" bestFit="1" customWidth="1"/>
    <col min="11" max="11" width="11.5" bestFit="1" customWidth="1"/>
    <col min="12" max="12" width="14.1640625" customWidth="1"/>
    <col min="13" max="13" width="15" bestFit="1" customWidth="1"/>
    <col min="14" max="14" width="14" customWidth="1"/>
    <col min="15" max="15" width="16.1640625" customWidth="1"/>
  </cols>
  <sheetData>
    <row r="1" spans="1:15" ht="26.4" customHeight="1" x14ac:dyDescent="0.3"/>
    <row r="2" spans="1:15" ht="19.25" customHeight="1" x14ac:dyDescent="0.3">
      <c r="C2" s="338" t="s">
        <v>79</v>
      </c>
      <c r="D2" s="338"/>
      <c r="E2" s="338"/>
      <c r="F2" s="338"/>
      <c r="G2" s="338"/>
      <c r="H2" s="338"/>
      <c r="I2" s="338"/>
      <c r="J2" s="338"/>
      <c r="K2" s="338"/>
      <c r="L2" s="338"/>
    </row>
    <row r="3" spans="1:15" ht="14.5" thickBot="1" x14ac:dyDescent="0.35">
      <c r="N3" s="339"/>
      <c r="O3" s="339"/>
    </row>
    <row r="4" spans="1:15" ht="14.5" thickBot="1" x14ac:dyDescent="0.35">
      <c r="A4" s="3" t="s">
        <v>13</v>
      </c>
      <c r="B4" s="3" t="s">
        <v>5</v>
      </c>
      <c r="C4" s="4" t="s">
        <v>14</v>
      </c>
      <c r="D4" s="5" t="s">
        <v>15</v>
      </c>
      <c r="E4" s="6" t="s">
        <v>16</v>
      </c>
      <c r="F4" s="5" t="s">
        <v>17</v>
      </c>
      <c r="G4" s="5" t="s">
        <v>18</v>
      </c>
      <c r="H4" s="5" t="s">
        <v>19</v>
      </c>
      <c r="I4" s="4" t="s">
        <v>20</v>
      </c>
      <c r="J4" s="5" t="s">
        <v>21</v>
      </c>
      <c r="K4" s="6" t="s">
        <v>22</v>
      </c>
      <c r="L4" s="5" t="s">
        <v>23</v>
      </c>
      <c r="M4" s="5" t="s">
        <v>24</v>
      </c>
      <c r="N4" s="34" t="s">
        <v>25</v>
      </c>
      <c r="O4" s="30" t="s">
        <v>30</v>
      </c>
    </row>
    <row r="5" spans="1:15" ht="14.5" thickBot="1" x14ac:dyDescent="0.35">
      <c r="A5" s="13" t="s">
        <v>135</v>
      </c>
      <c r="B5" s="14">
        <v>15175</v>
      </c>
      <c r="C5" s="7">
        <v>200</v>
      </c>
      <c r="D5" s="2">
        <v>200</v>
      </c>
      <c r="E5" s="8">
        <v>200</v>
      </c>
      <c r="F5" s="2"/>
      <c r="G5" s="2">
        <v>200</v>
      </c>
      <c r="H5" s="2">
        <v>0</v>
      </c>
      <c r="I5" s="7">
        <v>0</v>
      </c>
      <c r="J5" s="2"/>
      <c r="K5" s="8">
        <v>0</v>
      </c>
      <c r="L5" s="2"/>
      <c r="M5" s="2"/>
      <c r="N5" s="36">
        <v>2500</v>
      </c>
      <c r="O5" s="31">
        <v>11847</v>
      </c>
    </row>
    <row r="6" spans="1:15" ht="14.5" thickBot="1" x14ac:dyDescent="0.35">
      <c r="A6" s="13" t="s">
        <v>106</v>
      </c>
      <c r="B6" s="14">
        <f>C6+D6+E6+F6+G6+H6+I6+J6+K6+L6+M6+N6</f>
        <v>68</v>
      </c>
      <c r="C6" s="7"/>
      <c r="D6" s="2"/>
      <c r="E6" s="8"/>
      <c r="F6" s="2"/>
      <c r="G6" s="2"/>
      <c r="H6" s="2">
        <v>0</v>
      </c>
      <c r="I6" s="7">
        <v>0</v>
      </c>
      <c r="J6" s="2"/>
      <c r="K6" s="8">
        <v>0</v>
      </c>
      <c r="L6" s="2">
        <v>0</v>
      </c>
      <c r="M6" s="2">
        <v>68</v>
      </c>
      <c r="N6" s="36"/>
      <c r="O6" s="31"/>
    </row>
    <row r="7" spans="1:15" ht="14.5" thickBot="1" x14ac:dyDescent="0.35">
      <c r="A7" s="13" t="s">
        <v>99</v>
      </c>
      <c r="B7" s="14">
        <v>10186</v>
      </c>
      <c r="C7" s="7"/>
      <c r="D7" s="2"/>
      <c r="E7" s="8"/>
      <c r="F7" s="2"/>
      <c r="G7" s="2"/>
      <c r="H7" s="2">
        <v>0</v>
      </c>
      <c r="I7" s="7">
        <v>0</v>
      </c>
      <c r="J7" s="2"/>
      <c r="K7" s="8">
        <v>0</v>
      </c>
      <c r="L7" s="2">
        <v>0</v>
      </c>
      <c r="M7" s="176">
        <v>6236</v>
      </c>
      <c r="N7" s="36">
        <v>3950</v>
      </c>
      <c r="O7" s="31"/>
    </row>
    <row r="8" spans="1:15" ht="14.5" thickBot="1" x14ac:dyDescent="0.35">
      <c r="A8" s="13" t="s">
        <v>125</v>
      </c>
      <c r="B8" s="14">
        <v>7500</v>
      </c>
      <c r="C8" s="7"/>
      <c r="D8" s="2"/>
      <c r="E8" s="8"/>
      <c r="F8" s="2"/>
      <c r="G8" s="2"/>
      <c r="H8" s="2"/>
      <c r="I8" s="7"/>
      <c r="J8" s="2"/>
      <c r="K8" s="8"/>
      <c r="L8" s="2"/>
      <c r="M8" s="2"/>
      <c r="N8" s="36">
        <v>5000</v>
      </c>
      <c r="O8" s="31">
        <v>1500</v>
      </c>
    </row>
    <row r="9" spans="1:15" ht="14.5" thickBot="1" x14ac:dyDescent="0.35">
      <c r="A9" s="13" t="s">
        <v>1</v>
      </c>
      <c r="B9" s="14"/>
      <c r="C9" s="7">
        <v>1299.43</v>
      </c>
      <c r="D9" s="9">
        <v>892.42</v>
      </c>
      <c r="E9" s="10">
        <v>3761.1</v>
      </c>
      <c r="F9" s="9"/>
      <c r="G9" s="2">
        <v>316.54000000000002</v>
      </c>
      <c r="H9" s="2">
        <v>465.13</v>
      </c>
      <c r="I9" s="7">
        <v>701.75</v>
      </c>
      <c r="J9" s="2">
        <v>478.47</v>
      </c>
      <c r="K9" s="8">
        <v>701.75</v>
      </c>
      <c r="L9" s="2">
        <v>421.21</v>
      </c>
      <c r="M9" s="2">
        <v>556.21</v>
      </c>
      <c r="N9" s="36">
        <v>0</v>
      </c>
      <c r="O9" s="32">
        <v>0</v>
      </c>
    </row>
    <row r="10" spans="1:15" ht="14.5" thickBot="1" x14ac:dyDescent="0.35">
      <c r="A10" s="13" t="s">
        <v>83</v>
      </c>
      <c r="B10" s="23">
        <f>C10</f>
        <v>2500</v>
      </c>
      <c r="C10" s="7">
        <v>2500</v>
      </c>
      <c r="D10" s="2">
        <v>0</v>
      </c>
      <c r="E10" s="8">
        <v>0</v>
      </c>
      <c r="F10" s="2">
        <v>0</v>
      </c>
      <c r="G10" s="9"/>
      <c r="H10" s="9"/>
      <c r="I10" s="11"/>
      <c r="J10" s="2"/>
      <c r="K10" s="8"/>
      <c r="L10" s="2"/>
      <c r="M10" s="2"/>
      <c r="N10" s="36"/>
      <c r="O10" s="32"/>
    </row>
    <row r="11" spans="1:15" ht="14.5" thickBot="1" x14ac:dyDescent="0.35">
      <c r="A11" s="13" t="s">
        <v>151</v>
      </c>
      <c r="B11" s="23">
        <v>2208</v>
      </c>
      <c r="C11" s="7"/>
      <c r="D11" s="2"/>
      <c r="E11" s="8"/>
      <c r="F11" s="2"/>
      <c r="G11" s="9"/>
      <c r="H11" s="9"/>
      <c r="I11" s="11"/>
      <c r="J11" s="2"/>
      <c r="K11" s="8"/>
      <c r="L11" s="2"/>
      <c r="M11" s="2"/>
      <c r="N11" s="36"/>
      <c r="O11" s="32"/>
    </row>
    <row r="12" spans="1:15" ht="14.5" thickBot="1" x14ac:dyDescent="0.35">
      <c r="A12" s="13" t="s">
        <v>133</v>
      </c>
      <c r="B12" s="23"/>
      <c r="C12" s="7"/>
      <c r="D12" s="2"/>
      <c r="E12" s="8"/>
      <c r="F12" s="2"/>
      <c r="G12" s="9"/>
      <c r="H12" s="9"/>
      <c r="I12" s="11"/>
      <c r="J12" s="2"/>
      <c r="K12" s="8"/>
      <c r="L12" s="2">
        <v>961.68</v>
      </c>
      <c r="M12" s="2">
        <v>443</v>
      </c>
      <c r="N12" s="36"/>
      <c r="O12" s="32"/>
    </row>
    <row r="13" spans="1:15" ht="14.5" thickBot="1" x14ac:dyDescent="0.35">
      <c r="A13" s="13" t="s">
        <v>152</v>
      </c>
      <c r="B13" s="23"/>
      <c r="C13" s="7"/>
      <c r="D13" s="2"/>
      <c r="E13" s="8"/>
      <c r="F13" s="2"/>
      <c r="G13" s="9"/>
      <c r="H13" s="9"/>
      <c r="I13" s="11"/>
      <c r="J13" s="2"/>
      <c r="K13" s="8"/>
      <c r="L13" s="2"/>
      <c r="M13" s="2">
        <v>2000</v>
      </c>
      <c r="N13" s="36"/>
      <c r="O13" s="32"/>
    </row>
    <row r="14" spans="1:15" ht="14.5" thickBot="1" x14ac:dyDescent="0.35">
      <c r="A14" s="13" t="s">
        <v>33</v>
      </c>
      <c r="B14" s="23">
        <f>C14+D14+E14+F14+G14+H14+I14+J14+K14+L14+M14+N14</f>
        <v>1512.3</v>
      </c>
      <c r="C14" s="7">
        <v>216.1</v>
      </c>
      <c r="D14" s="9">
        <v>216.1</v>
      </c>
      <c r="E14" s="10">
        <v>216.1</v>
      </c>
      <c r="F14" s="2"/>
      <c r="G14" s="9"/>
      <c r="H14" s="8"/>
      <c r="I14" s="11"/>
      <c r="J14" s="2"/>
      <c r="K14" s="8">
        <v>216</v>
      </c>
      <c r="L14" s="2">
        <v>216</v>
      </c>
      <c r="M14" s="2">
        <v>216</v>
      </c>
      <c r="N14" s="36">
        <v>216</v>
      </c>
      <c r="O14" s="32"/>
    </row>
    <row r="15" spans="1:15" ht="14.5" thickBot="1" x14ac:dyDescent="0.35">
      <c r="A15" s="13" t="s">
        <v>2</v>
      </c>
      <c r="B15" s="23">
        <f>C15+D15+E15+F15+G15+H15+I15+J15+K15+L15+L15+M15+N15</f>
        <v>4000</v>
      </c>
      <c r="C15" s="7">
        <v>1000</v>
      </c>
      <c r="D15" s="9">
        <v>1000</v>
      </c>
      <c r="E15" s="10">
        <v>1000</v>
      </c>
      <c r="F15" s="2">
        <v>0</v>
      </c>
      <c r="G15" s="2"/>
      <c r="H15" s="2">
        <v>0</v>
      </c>
      <c r="I15" s="11"/>
      <c r="J15" s="2"/>
      <c r="K15" s="8"/>
      <c r="L15" s="2"/>
      <c r="M15" s="2"/>
      <c r="N15" s="36">
        <v>1000</v>
      </c>
      <c r="O15" s="32">
        <v>6000</v>
      </c>
    </row>
    <row r="16" spans="1:15" ht="14.5" thickBot="1" x14ac:dyDescent="0.35">
      <c r="A16" s="13" t="s">
        <v>131</v>
      </c>
      <c r="B16" s="23">
        <f>C16+D16+E16+F16+G16+H16+I16+J16+K16+L16+M16+N16</f>
        <v>0</v>
      </c>
      <c r="C16" s="84"/>
      <c r="D16" s="172"/>
      <c r="E16" s="173"/>
      <c r="F16" s="84"/>
      <c r="G16" s="88"/>
      <c r="H16" s="89"/>
      <c r="I16" s="87"/>
      <c r="J16" s="88"/>
      <c r="K16" s="89"/>
      <c r="L16" s="88"/>
      <c r="M16" s="88"/>
      <c r="N16" s="105"/>
      <c r="O16" s="147"/>
    </row>
    <row r="17" spans="1:15" ht="14.5" thickBot="1" x14ac:dyDescent="0.35">
      <c r="A17" s="13" t="s">
        <v>102</v>
      </c>
      <c r="B17" s="23">
        <f>C17+D17+E17+F17+G17+H17+I17+J17+K17+L17+L17+M17+N17</f>
        <v>0</v>
      </c>
      <c r="C17" s="7"/>
      <c r="D17" s="9"/>
      <c r="E17" s="10"/>
      <c r="F17" s="2">
        <v>0</v>
      </c>
      <c r="G17" s="2"/>
      <c r="H17" s="2">
        <v>0</v>
      </c>
      <c r="I17" s="11"/>
      <c r="J17" s="2"/>
      <c r="K17" s="8"/>
      <c r="L17" s="2">
        <v>0</v>
      </c>
      <c r="M17" s="2"/>
      <c r="N17" s="36"/>
      <c r="O17" s="32"/>
    </row>
    <row r="18" spans="1:15" ht="14.5" thickBot="1" x14ac:dyDescent="0.35">
      <c r="A18" s="13" t="s">
        <v>156</v>
      </c>
      <c r="B18" s="14">
        <v>3000</v>
      </c>
      <c r="C18" s="7"/>
      <c r="D18" s="2"/>
      <c r="E18" s="8"/>
      <c r="F18" s="2"/>
      <c r="G18" s="2"/>
      <c r="H18" s="2">
        <v>0</v>
      </c>
      <c r="I18" s="7">
        <v>0</v>
      </c>
      <c r="J18" s="2"/>
      <c r="K18" s="8">
        <v>0</v>
      </c>
      <c r="L18" s="2">
        <v>0</v>
      </c>
      <c r="M18" s="2"/>
      <c r="N18" s="192">
        <v>3000</v>
      </c>
      <c r="O18" s="31">
        <v>3000</v>
      </c>
    </row>
    <row r="19" spans="1:15" ht="14.5" thickBot="1" x14ac:dyDescent="0.35">
      <c r="A19" s="13" t="s">
        <v>45</v>
      </c>
      <c r="B19" s="23"/>
      <c r="C19" s="7">
        <v>0</v>
      </c>
      <c r="D19" s="9"/>
      <c r="E19" s="10"/>
      <c r="F19" s="2">
        <v>0</v>
      </c>
      <c r="G19" s="2">
        <v>1350</v>
      </c>
      <c r="H19" s="2">
        <v>0</v>
      </c>
      <c r="I19" s="11"/>
      <c r="J19" s="2"/>
      <c r="K19" s="8"/>
      <c r="L19" s="148"/>
      <c r="M19" s="2">
        <v>2474.71</v>
      </c>
      <c r="N19" s="36"/>
      <c r="O19" s="32"/>
    </row>
    <row r="20" spans="1:15" ht="14.5" thickBot="1" x14ac:dyDescent="0.35">
      <c r="A20" s="13" t="s">
        <v>111</v>
      </c>
      <c r="B20" s="23">
        <f>C20+D20+E20+F20+G20+H20+I20+J20+K20+L20+M20+N20</f>
        <v>1728.29</v>
      </c>
      <c r="C20" s="7">
        <v>192.99</v>
      </c>
      <c r="D20" s="2">
        <v>192.99</v>
      </c>
      <c r="E20" s="8">
        <v>192.99</v>
      </c>
      <c r="F20" s="2">
        <v>0</v>
      </c>
      <c r="G20" s="2"/>
      <c r="H20" s="2">
        <v>0</v>
      </c>
      <c r="I20" s="11"/>
      <c r="J20" s="2"/>
      <c r="K20" s="8">
        <v>440</v>
      </c>
      <c r="L20" s="175">
        <v>236</v>
      </c>
      <c r="M20" s="2">
        <v>236</v>
      </c>
      <c r="N20" s="35">
        <v>237.32</v>
      </c>
      <c r="O20" s="32"/>
    </row>
    <row r="21" spans="1:15" ht="14.5" thickBot="1" x14ac:dyDescent="0.35">
      <c r="A21" s="13" t="s">
        <v>110</v>
      </c>
      <c r="B21" s="23">
        <f>C21+D21+E21+F21+G21+H21+I21+J21+K21+L21+M21+N21</f>
        <v>180</v>
      </c>
      <c r="C21" s="7"/>
      <c r="D21" s="2"/>
      <c r="E21" s="8"/>
      <c r="F21" s="2">
        <v>0</v>
      </c>
      <c r="G21" s="2"/>
      <c r="H21" s="2">
        <v>0</v>
      </c>
      <c r="I21" s="11"/>
      <c r="J21" s="2"/>
      <c r="K21" s="8"/>
      <c r="L21" s="2">
        <v>180</v>
      </c>
      <c r="M21" s="2"/>
      <c r="N21" s="36"/>
      <c r="O21" s="32"/>
    </row>
    <row r="22" spans="1:15" ht="14.5" thickBot="1" x14ac:dyDescent="0.35">
      <c r="A22" s="13" t="s">
        <v>67</v>
      </c>
      <c r="B22" s="23">
        <v>2990</v>
      </c>
      <c r="C22" s="7">
        <v>0</v>
      </c>
      <c r="D22" s="9"/>
      <c r="E22" s="10"/>
      <c r="F22" s="2">
        <v>0</v>
      </c>
      <c r="G22" s="2"/>
      <c r="H22" s="2">
        <v>0</v>
      </c>
      <c r="I22" s="11"/>
      <c r="J22" s="2"/>
      <c r="K22" s="8"/>
      <c r="L22" s="2">
        <v>2990</v>
      </c>
      <c r="M22" s="2">
        <v>0</v>
      </c>
      <c r="N22" s="36">
        <v>0</v>
      </c>
      <c r="O22" s="32"/>
    </row>
    <row r="23" spans="1:15" ht="14.5" thickBot="1" x14ac:dyDescent="0.35">
      <c r="A23" s="13" t="s">
        <v>73</v>
      </c>
      <c r="B23" s="23"/>
      <c r="C23" s="7"/>
      <c r="D23" s="9"/>
      <c r="E23" s="10"/>
      <c r="F23" s="2"/>
      <c r="G23" s="2"/>
      <c r="H23" s="2"/>
      <c r="I23" s="11"/>
      <c r="J23" s="2"/>
      <c r="K23" s="8"/>
      <c r="L23" s="2"/>
      <c r="M23" s="2"/>
      <c r="N23" s="36">
        <v>309</v>
      </c>
      <c r="O23" s="32"/>
    </row>
    <row r="24" spans="1:15" ht="14.5" thickBot="1" x14ac:dyDescent="0.35">
      <c r="A24" s="13" t="s">
        <v>103</v>
      </c>
      <c r="B24" s="23"/>
      <c r="C24" s="7">
        <v>0</v>
      </c>
      <c r="D24" s="9"/>
      <c r="E24" s="10"/>
      <c r="F24" s="2"/>
      <c r="G24" s="9"/>
      <c r="H24" s="8"/>
      <c r="I24" s="11"/>
      <c r="J24" s="2"/>
      <c r="K24" s="8">
        <v>27828.45</v>
      </c>
      <c r="L24" s="2"/>
      <c r="M24" s="2">
        <v>0</v>
      </c>
      <c r="N24" s="36">
        <v>0</v>
      </c>
      <c r="O24" s="32"/>
    </row>
    <row r="25" spans="1:15" ht="14.5" thickBot="1" x14ac:dyDescent="0.35">
      <c r="A25" s="13" t="s">
        <v>104</v>
      </c>
      <c r="B25" s="23"/>
      <c r="C25" s="7"/>
      <c r="D25" s="9"/>
      <c r="E25" s="10"/>
      <c r="F25" s="2"/>
      <c r="G25" s="9"/>
      <c r="H25" s="2"/>
      <c r="I25" s="11"/>
      <c r="J25" s="2"/>
      <c r="K25" s="8"/>
      <c r="L25" s="2">
        <v>8602</v>
      </c>
      <c r="M25" s="2"/>
      <c r="N25" s="36"/>
      <c r="O25" s="32"/>
    </row>
    <row r="26" spans="1:15" ht="14.5" thickBot="1" x14ac:dyDescent="0.35">
      <c r="A26" s="13" t="s">
        <v>149</v>
      </c>
      <c r="B26" s="23"/>
      <c r="C26" s="7"/>
      <c r="D26" s="9"/>
      <c r="E26" s="10"/>
      <c r="F26" s="2"/>
      <c r="G26" s="9"/>
      <c r="H26" s="2"/>
      <c r="I26" s="11"/>
      <c r="J26" s="2"/>
      <c r="K26" s="8"/>
      <c r="L26" s="2"/>
      <c r="M26" s="2">
        <v>1696</v>
      </c>
      <c r="N26" s="36"/>
      <c r="O26" s="32"/>
    </row>
    <row r="27" spans="1:15" ht="14.5" thickBot="1" x14ac:dyDescent="0.35">
      <c r="A27" s="13" t="s">
        <v>105</v>
      </c>
      <c r="B27" s="212">
        <v>21226.82</v>
      </c>
      <c r="C27" s="7"/>
      <c r="D27" s="9"/>
      <c r="E27" s="10"/>
      <c r="F27" s="2"/>
      <c r="G27" s="9"/>
      <c r="H27" s="2"/>
      <c r="I27" s="11"/>
      <c r="J27" s="2"/>
      <c r="K27" s="8"/>
      <c r="L27" s="2"/>
      <c r="M27" s="2"/>
      <c r="N27" s="192">
        <v>8113</v>
      </c>
      <c r="O27" s="211">
        <v>8113.82</v>
      </c>
    </row>
    <row r="28" spans="1:15" ht="14.5" thickBot="1" x14ac:dyDescent="0.35">
      <c r="A28" s="13" t="s">
        <v>107</v>
      </c>
      <c r="B28" s="23"/>
      <c r="C28" s="7"/>
      <c r="D28" s="9"/>
      <c r="E28" s="10"/>
      <c r="F28" s="2"/>
      <c r="G28" s="9"/>
      <c r="H28" s="2"/>
      <c r="I28" s="11"/>
      <c r="J28" s="2"/>
      <c r="K28" s="8"/>
      <c r="L28" s="2"/>
      <c r="M28" s="2"/>
      <c r="N28" s="36">
        <v>43239.43</v>
      </c>
      <c r="O28" s="32"/>
    </row>
    <row r="29" spans="1:15" ht="14.5" thickBot="1" x14ac:dyDescent="0.35">
      <c r="A29" s="13" t="s">
        <v>161</v>
      </c>
      <c r="B29" s="23"/>
      <c r="C29" s="7"/>
      <c r="D29" s="9"/>
      <c r="E29" s="10"/>
      <c r="F29" s="2"/>
      <c r="G29" s="9"/>
      <c r="H29" s="2"/>
      <c r="I29" s="11"/>
      <c r="J29" s="2"/>
      <c r="K29" s="8"/>
      <c r="L29" s="2"/>
      <c r="M29" s="2"/>
      <c r="N29" s="36">
        <v>200</v>
      </c>
      <c r="O29" s="32"/>
    </row>
    <row r="30" spans="1:15" ht="14.5" thickBot="1" x14ac:dyDescent="0.35">
      <c r="A30" s="13" t="s">
        <v>162</v>
      </c>
      <c r="B30" s="23">
        <v>1000</v>
      </c>
      <c r="C30" s="7"/>
      <c r="D30" s="9"/>
      <c r="E30" s="10"/>
      <c r="F30" s="2"/>
      <c r="G30" s="9"/>
      <c r="H30" s="2"/>
      <c r="I30" s="11"/>
      <c r="J30" s="2"/>
      <c r="K30" s="8"/>
      <c r="L30" s="2"/>
      <c r="M30" s="2"/>
      <c r="N30" s="36">
        <v>1000</v>
      </c>
      <c r="O30" s="32">
        <v>1000</v>
      </c>
    </row>
    <row r="31" spans="1:15" ht="14.5" thickBot="1" x14ac:dyDescent="0.35">
      <c r="A31" s="13" t="s">
        <v>163</v>
      </c>
      <c r="B31" s="212">
        <v>2356.9899999999998</v>
      </c>
      <c r="C31" s="7"/>
      <c r="D31" s="9"/>
      <c r="E31" s="10"/>
      <c r="F31" s="2"/>
      <c r="G31" s="9"/>
      <c r="H31" s="2"/>
      <c r="I31" s="11"/>
      <c r="J31" s="2"/>
      <c r="K31" s="8"/>
      <c r="L31" s="2"/>
      <c r="M31" s="2">
        <v>2356.9899999999998</v>
      </c>
      <c r="N31" s="36"/>
      <c r="O31" s="32"/>
    </row>
    <row r="32" spans="1:15" ht="14.5" thickBot="1" x14ac:dyDescent="0.35">
      <c r="A32" s="13" t="s">
        <v>164</v>
      </c>
      <c r="B32" s="23">
        <v>810</v>
      </c>
      <c r="C32" s="7"/>
      <c r="D32" s="9"/>
      <c r="E32" s="10"/>
      <c r="F32" s="2"/>
      <c r="G32" s="9"/>
      <c r="H32" s="2"/>
      <c r="I32" s="11"/>
      <c r="J32" s="2"/>
      <c r="K32" s="8"/>
      <c r="L32" s="2"/>
      <c r="M32" s="2"/>
      <c r="N32" s="36">
        <v>810</v>
      </c>
      <c r="O32" s="32">
        <v>810</v>
      </c>
    </row>
    <row r="33" spans="1:15" ht="14.5" thickBot="1" x14ac:dyDescent="0.35">
      <c r="A33" s="13" t="s">
        <v>153</v>
      </c>
      <c r="B33" s="23"/>
      <c r="C33" s="7"/>
      <c r="D33" s="9"/>
      <c r="E33" s="10"/>
      <c r="F33" s="2"/>
      <c r="G33" s="9"/>
      <c r="H33" s="2"/>
      <c r="I33" s="11"/>
      <c r="J33" s="2"/>
      <c r="K33" s="8"/>
      <c r="L33" s="2"/>
      <c r="M33" s="2">
        <v>1928</v>
      </c>
      <c r="N33" s="36"/>
      <c r="O33" s="32"/>
    </row>
    <row r="34" spans="1:15" ht="14.5" thickBot="1" x14ac:dyDescent="0.35">
      <c r="A34" s="13" t="s">
        <v>154</v>
      </c>
      <c r="B34" s="23"/>
      <c r="C34" s="7"/>
      <c r="D34" s="9"/>
      <c r="E34" s="10"/>
      <c r="F34" s="2"/>
      <c r="G34" s="9"/>
      <c r="H34" s="2"/>
      <c r="I34" s="11"/>
      <c r="J34" s="2"/>
      <c r="K34" s="8"/>
      <c r="L34" s="2"/>
      <c r="M34" s="2"/>
      <c r="N34" s="36">
        <v>3670</v>
      </c>
      <c r="O34" s="32">
        <v>1900</v>
      </c>
    </row>
    <row r="35" spans="1:15" ht="14.5" thickBot="1" x14ac:dyDescent="0.35">
      <c r="A35" s="15" t="s">
        <v>139</v>
      </c>
      <c r="B35" s="16"/>
      <c r="C35" s="7"/>
      <c r="D35" s="9"/>
      <c r="E35" s="10"/>
      <c r="F35" s="2"/>
      <c r="G35" s="2"/>
      <c r="H35" s="2"/>
      <c r="I35" s="11"/>
      <c r="J35" s="2"/>
      <c r="K35" s="8"/>
      <c r="L35" s="2"/>
      <c r="M35" s="182">
        <v>1376.66</v>
      </c>
      <c r="N35" s="36"/>
      <c r="O35" s="32"/>
    </row>
    <row r="36" spans="1:15" ht="14.5" thickBot="1" x14ac:dyDescent="0.35">
      <c r="A36" s="15" t="s">
        <v>84</v>
      </c>
      <c r="B36" s="15">
        <v>1250</v>
      </c>
      <c r="C36" s="7"/>
      <c r="D36" s="9"/>
      <c r="E36" s="10"/>
      <c r="F36" s="181">
        <v>1250</v>
      </c>
      <c r="G36" s="2"/>
      <c r="H36" s="2"/>
      <c r="I36" s="11"/>
      <c r="J36" s="2"/>
      <c r="K36" s="8"/>
      <c r="L36" s="2"/>
      <c r="M36" s="2"/>
      <c r="N36" s="36"/>
      <c r="O36" s="32"/>
    </row>
    <row r="37" spans="1:15" ht="14.5" thickBot="1" x14ac:dyDescent="0.35">
      <c r="A37" s="15" t="s">
        <v>29</v>
      </c>
      <c r="B37" s="75">
        <f>C37+F37+I37+L37</f>
        <v>17647.14</v>
      </c>
      <c r="C37" s="29">
        <v>8738.24</v>
      </c>
      <c r="D37" s="9"/>
      <c r="E37" s="10"/>
      <c r="F37" s="182">
        <v>6870.32</v>
      </c>
      <c r="G37" s="2"/>
      <c r="H37" s="2"/>
      <c r="I37" s="29">
        <v>946.58</v>
      </c>
      <c r="J37" s="2"/>
      <c r="K37" s="8"/>
      <c r="L37" s="182">
        <v>1092</v>
      </c>
      <c r="M37" s="2"/>
      <c r="N37" s="36"/>
      <c r="O37" s="32">
        <f>N35</f>
        <v>0</v>
      </c>
    </row>
    <row r="38" spans="1:15" ht="21" customHeight="1" thickBot="1" x14ac:dyDescent="0.35">
      <c r="A38" s="17" t="s">
        <v>7</v>
      </c>
      <c r="B38" s="18">
        <v>315000</v>
      </c>
      <c r="C38" s="7">
        <v>0</v>
      </c>
      <c r="D38" s="9"/>
      <c r="E38" s="10"/>
      <c r="F38" s="9"/>
      <c r="G38" s="9"/>
      <c r="H38" s="2"/>
      <c r="I38" s="7"/>
      <c r="J38" s="2"/>
      <c r="K38" s="8"/>
      <c r="L38" s="2"/>
      <c r="M38" s="2"/>
      <c r="N38" s="36"/>
      <c r="O38" s="32">
        <f>B38-N38-M38-L38-K38-J38-I38-H38-G38-F38-E38-D38-C38</f>
        <v>315000</v>
      </c>
    </row>
    <row r="39" spans="1:15" ht="14.5" thickBot="1" x14ac:dyDescent="0.35">
      <c r="A39" s="17" t="s">
        <v>27</v>
      </c>
      <c r="B39" s="18">
        <v>345000</v>
      </c>
      <c r="C39" s="7"/>
      <c r="D39" s="9"/>
      <c r="E39" s="10"/>
      <c r="F39" s="9"/>
      <c r="G39" s="9"/>
      <c r="H39" s="9"/>
      <c r="I39" s="11"/>
      <c r="J39" s="2"/>
      <c r="K39" s="8"/>
      <c r="L39" s="9"/>
      <c r="M39" s="9"/>
      <c r="N39" s="37"/>
      <c r="O39" s="33">
        <f>B39-N39-M39-L39-K39-J39-I39-H39-G39-F39-E39-D39-C39</f>
        <v>345000</v>
      </c>
    </row>
    <row r="40" spans="1:15" ht="14.5" thickBot="1" x14ac:dyDescent="0.35">
      <c r="A40" s="17" t="s">
        <v>28</v>
      </c>
      <c r="B40" s="18">
        <v>24045</v>
      </c>
      <c r="C40" s="7"/>
      <c r="D40" s="9"/>
      <c r="E40" s="10"/>
      <c r="F40" s="9"/>
      <c r="G40" s="9"/>
      <c r="H40" s="9"/>
      <c r="I40" s="11"/>
      <c r="J40" s="2"/>
      <c r="K40" s="8"/>
      <c r="L40" s="9"/>
      <c r="M40" s="9"/>
      <c r="N40" s="37"/>
      <c r="O40" s="33">
        <f>B40-N40-M40-L40-K40-J40-I40-H40-G40--F40-E40-D40-C40</f>
        <v>24045</v>
      </c>
    </row>
    <row r="41" spans="1:15" ht="14.5" thickBot="1" x14ac:dyDescent="0.35">
      <c r="A41" s="17" t="s">
        <v>32</v>
      </c>
      <c r="B41" s="18">
        <v>71625</v>
      </c>
      <c r="C41" s="174">
        <v>5000</v>
      </c>
      <c r="D41" s="184">
        <v>5000</v>
      </c>
      <c r="E41" s="10"/>
      <c r="F41" s="184">
        <v>10000</v>
      </c>
      <c r="G41" s="176">
        <v>5000</v>
      </c>
      <c r="H41" s="2"/>
      <c r="I41" s="7"/>
      <c r="J41" s="2"/>
      <c r="K41" s="8"/>
      <c r="L41" s="2"/>
      <c r="M41" s="2"/>
      <c r="N41" s="36"/>
      <c r="O41" s="32">
        <f>B41-N41-M41-L41-K41-J41-I41-H41-G41-F41-E41-D41-C41</f>
        <v>46625</v>
      </c>
    </row>
    <row r="42" spans="1:15" ht="14.5" thickBot="1" x14ac:dyDescent="0.35">
      <c r="A42" s="17" t="s">
        <v>8</v>
      </c>
      <c r="B42" s="18">
        <v>115000</v>
      </c>
      <c r="C42" s="7"/>
      <c r="D42" s="9"/>
      <c r="E42" s="10"/>
      <c r="F42" s="2"/>
      <c r="G42" s="2"/>
      <c r="H42" s="2"/>
      <c r="I42" s="7"/>
      <c r="J42" s="2"/>
      <c r="K42" s="8"/>
      <c r="L42" s="2"/>
      <c r="M42" s="2"/>
      <c r="N42" s="36"/>
      <c r="O42" s="32">
        <f>B42-N42-M42-L42-K42-J42-I42-H42-G42-F42-E42-D42-C42</f>
        <v>115000</v>
      </c>
    </row>
    <row r="43" spans="1:15" ht="14.5" thickBot="1" x14ac:dyDescent="0.35">
      <c r="A43" s="17" t="s">
        <v>26</v>
      </c>
      <c r="B43" s="18">
        <v>127799</v>
      </c>
      <c r="C43" s="11"/>
      <c r="D43" s="2">
        <v>0</v>
      </c>
      <c r="E43" s="8">
        <v>0</v>
      </c>
      <c r="F43" s="2">
        <v>0</v>
      </c>
      <c r="G43" s="2">
        <v>0</v>
      </c>
      <c r="H43" s="2">
        <v>0</v>
      </c>
      <c r="I43" s="7">
        <v>0</v>
      </c>
      <c r="J43" s="2">
        <v>0</v>
      </c>
      <c r="K43" s="8">
        <v>0</v>
      </c>
      <c r="L43" s="2">
        <v>0</v>
      </c>
      <c r="M43" s="2">
        <v>0</v>
      </c>
      <c r="N43" s="36"/>
      <c r="O43" s="32">
        <f>B43-N43-M43-L43-K43-J43-I43-H43-G43-F43-E43-D43-C43</f>
        <v>127799</v>
      </c>
    </row>
    <row r="44" spans="1:15" ht="14.5" thickBot="1" x14ac:dyDescent="0.35">
      <c r="A44" s="17" t="s">
        <v>9</v>
      </c>
      <c r="B44" s="18">
        <v>200000</v>
      </c>
      <c r="C44" s="7"/>
      <c r="D44" s="2"/>
      <c r="E44" s="10"/>
      <c r="F44" s="2"/>
      <c r="G44" s="2"/>
      <c r="H44" s="2"/>
      <c r="I44" s="7"/>
      <c r="J44" s="2"/>
      <c r="K44" s="8"/>
      <c r="L44" s="2"/>
      <c r="M44" s="2"/>
      <c r="N44" s="36"/>
      <c r="O44" s="32">
        <f>B44-N44-M44-L44-K44-J44-I44-H44--G44-F44-E44-D44-C44</f>
        <v>200000</v>
      </c>
    </row>
    <row r="45" spans="1:15" ht="14.5" thickBot="1" x14ac:dyDescent="0.35">
      <c r="A45" s="17" t="s">
        <v>10</v>
      </c>
      <c r="B45" s="18">
        <v>200000</v>
      </c>
      <c r="C45" s="7"/>
      <c r="D45" s="2"/>
      <c r="E45" s="10"/>
      <c r="F45" s="2"/>
      <c r="G45" s="9"/>
      <c r="H45" s="2"/>
      <c r="I45" s="7"/>
      <c r="J45" s="2"/>
      <c r="K45" s="8"/>
      <c r="L45" s="2"/>
      <c r="M45" s="2"/>
      <c r="N45" s="36"/>
      <c r="O45" s="32">
        <f>B45-N45-M45-L45-K45-J45-I45-H45-G45-F45-E45--D45-C45</f>
        <v>200000</v>
      </c>
    </row>
    <row r="46" spans="1:15" ht="14.5" thickBot="1" x14ac:dyDescent="0.35">
      <c r="A46" s="193" t="s">
        <v>157</v>
      </c>
      <c r="B46" s="194">
        <v>20000</v>
      </c>
      <c r="C46" s="7"/>
      <c r="D46" s="2"/>
      <c r="E46" s="10"/>
      <c r="F46" s="2"/>
      <c r="G46" s="9"/>
      <c r="H46" s="2"/>
      <c r="I46" s="7"/>
      <c r="J46" s="2"/>
      <c r="K46" s="8"/>
      <c r="L46" s="2"/>
      <c r="M46" s="2"/>
      <c r="N46" s="36"/>
      <c r="O46" s="32">
        <v>20000</v>
      </c>
    </row>
    <row r="47" spans="1:15" ht="14.5" thickBot="1" x14ac:dyDescent="0.35">
      <c r="A47" s="193" t="s">
        <v>158</v>
      </c>
      <c r="B47" s="194">
        <v>5000</v>
      </c>
      <c r="C47" s="7"/>
      <c r="D47" s="2"/>
      <c r="E47" s="10"/>
      <c r="F47" s="2"/>
      <c r="G47" s="9"/>
      <c r="H47" s="2"/>
      <c r="I47" s="7"/>
      <c r="J47" s="2"/>
      <c r="K47" s="8"/>
      <c r="L47" s="2"/>
      <c r="M47" s="2"/>
      <c r="N47" s="36"/>
      <c r="O47" s="32">
        <v>5000</v>
      </c>
    </row>
    <row r="48" spans="1:15" ht="14.5" thickBot="1" x14ac:dyDescent="0.35">
      <c r="A48" s="193" t="s">
        <v>3</v>
      </c>
      <c r="B48" s="194">
        <v>5000</v>
      </c>
      <c r="C48" s="84">
        <v>0</v>
      </c>
      <c r="D48" s="85"/>
      <c r="E48" s="86"/>
      <c r="F48" s="90"/>
      <c r="G48" s="85"/>
      <c r="H48" s="88"/>
      <c r="I48" s="84"/>
      <c r="J48" s="88"/>
      <c r="K48" s="89"/>
      <c r="L48" s="88">
        <v>0</v>
      </c>
      <c r="M48" s="88"/>
      <c r="N48" s="105">
        <v>5000</v>
      </c>
      <c r="O48" s="32">
        <f>B48-C48-D48-E48-F48-G48-H48-I48-J48-K48-M48-P48-N48</f>
        <v>0</v>
      </c>
    </row>
    <row r="49" spans="1:15" ht="14.5" thickBot="1" x14ac:dyDescent="0.35">
      <c r="A49" s="38" t="s">
        <v>11</v>
      </c>
      <c r="B49" s="39">
        <f t="shared" ref="B49:O49" si="0">SUM(B6:B48)</f>
        <v>1508632.54</v>
      </c>
      <c r="C49" s="40">
        <f t="shared" si="0"/>
        <v>18946.760000000002</v>
      </c>
      <c r="D49" s="41">
        <f t="shared" si="0"/>
        <v>7301.51</v>
      </c>
      <c r="E49" s="41">
        <f t="shared" si="0"/>
        <v>5170.1899999999996</v>
      </c>
      <c r="F49" s="42">
        <f t="shared" si="0"/>
        <v>18120.32</v>
      </c>
      <c r="G49" s="43">
        <f t="shared" si="0"/>
        <v>6666.54</v>
      </c>
      <c r="H49" s="44">
        <f t="shared" si="0"/>
        <v>465.13</v>
      </c>
      <c r="I49" s="40">
        <f t="shared" si="0"/>
        <v>1648.33</v>
      </c>
      <c r="J49" s="41">
        <f t="shared" si="0"/>
        <v>478.47</v>
      </c>
      <c r="K49" s="150">
        <f t="shared" si="0"/>
        <v>29186.2</v>
      </c>
      <c r="L49" s="41">
        <f t="shared" si="0"/>
        <v>14698.89</v>
      </c>
      <c r="M49" s="41">
        <f t="shared" si="0"/>
        <v>19587.569999999996</v>
      </c>
      <c r="N49" s="45">
        <f t="shared" si="0"/>
        <v>75744.75</v>
      </c>
      <c r="O49" s="46">
        <f t="shared" si="0"/>
        <v>1420792.82</v>
      </c>
    </row>
    <row r="50" spans="1:15" x14ac:dyDescent="0.3">
      <c r="A50" s="1"/>
      <c r="C50" s="1"/>
      <c r="D50" s="1"/>
      <c r="E50" s="1"/>
      <c r="F50" s="1"/>
      <c r="G50" s="1"/>
      <c r="H50" s="1"/>
      <c r="I50" s="1"/>
      <c r="L50" s="183"/>
      <c r="M50" s="183"/>
      <c r="N50" s="106" t="s">
        <v>34</v>
      </c>
      <c r="O50" s="1"/>
    </row>
    <row r="51" spans="1:15" ht="18" x14ac:dyDescent="0.3">
      <c r="C51" s="338" t="s">
        <v>80</v>
      </c>
      <c r="D51" s="338"/>
      <c r="E51" s="338"/>
      <c r="F51" s="338"/>
      <c r="G51" s="338"/>
      <c r="H51" s="338"/>
      <c r="I51" s="338"/>
      <c r="J51" s="338"/>
      <c r="K51" s="338"/>
      <c r="L51" s="338"/>
    </row>
    <row r="52" spans="1:15" ht="18" x14ac:dyDescent="0.3">
      <c r="C52" s="80"/>
      <c r="D52" s="80"/>
      <c r="E52" s="80"/>
      <c r="F52" s="130" t="s">
        <v>118</v>
      </c>
      <c r="G52" s="80"/>
      <c r="H52" s="80"/>
      <c r="I52" s="80"/>
      <c r="J52" s="80"/>
      <c r="K52" s="342"/>
      <c r="L52" s="342"/>
    </row>
    <row r="53" spans="1:15" ht="18.5" thickBot="1" x14ac:dyDescent="0.4">
      <c r="C53" s="80"/>
      <c r="D53" s="170"/>
      <c r="E53" s="169"/>
      <c r="F53" s="130"/>
      <c r="G53" s="80"/>
      <c r="H53" s="80"/>
      <c r="I53" s="80"/>
      <c r="J53" s="80"/>
      <c r="K53" s="80"/>
      <c r="L53" s="80"/>
      <c r="M53" s="161" t="s">
        <v>121</v>
      </c>
    </row>
    <row r="54" spans="1:15" ht="14.5" thickBot="1" x14ac:dyDescent="0.35">
      <c r="C54" s="158"/>
      <c r="D54" s="340" t="s">
        <v>117</v>
      </c>
      <c r="E54" s="341"/>
      <c r="F54" s="131"/>
      <c r="G54" s="110" t="s">
        <v>122</v>
      </c>
      <c r="K54" s="110" t="s">
        <v>123</v>
      </c>
      <c r="L54" s="158"/>
      <c r="M54" s="110" t="s">
        <v>120</v>
      </c>
      <c r="N54" s="157"/>
    </row>
    <row r="55" spans="1:15" ht="14.5" thickBot="1" x14ac:dyDescent="0.35">
      <c r="A55" s="3" t="s">
        <v>13</v>
      </c>
      <c r="B55" s="3" t="s">
        <v>5</v>
      </c>
      <c r="C55" s="4" t="s">
        <v>14</v>
      </c>
      <c r="D55" s="163" t="s">
        <v>15</v>
      </c>
      <c r="E55" s="124" t="s">
        <v>16</v>
      </c>
      <c r="F55" s="185" t="s">
        <v>17</v>
      </c>
      <c r="G55" s="5" t="s">
        <v>18</v>
      </c>
      <c r="H55" s="6" t="s">
        <v>19</v>
      </c>
      <c r="I55" s="4" t="s">
        <v>20</v>
      </c>
      <c r="J55" s="5" t="s">
        <v>21</v>
      </c>
      <c r="K55" s="6" t="s">
        <v>22</v>
      </c>
      <c r="L55" s="159" t="s">
        <v>23</v>
      </c>
      <c r="M55" s="160" t="s">
        <v>24</v>
      </c>
      <c r="N55" s="159" t="s">
        <v>25</v>
      </c>
      <c r="O55" s="30" t="s">
        <v>30</v>
      </c>
    </row>
    <row r="56" spans="1:15" ht="14.5" thickBot="1" x14ac:dyDescent="0.35">
      <c r="A56" s="213" t="s">
        <v>99</v>
      </c>
      <c r="B56" s="14">
        <f>C56+D56+E56+F56+G56+H56+I56+J56+K56+L56+M56+N56</f>
        <v>1310</v>
      </c>
      <c r="C56" s="214">
        <v>1310</v>
      </c>
      <c r="D56" s="164"/>
      <c r="E56" s="125"/>
      <c r="F56" s="186"/>
      <c r="G56" s="88"/>
      <c r="H56" s="89"/>
      <c r="I56" s="84"/>
      <c r="J56" s="88"/>
      <c r="K56" s="89"/>
      <c r="L56" s="154"/>
      <c r="M56" s="155"/>
      <c r="N56" s="162"/>
      <c r="O56" s="151"/>
    </row>
    <row r="57" spans="1:15" ht="14.5" thickBot="1" x14ac:dyDescent="0.35">
      <c r="A57" s="13" t="s">
        <v>125</v>
      </c>
      <c r="B57" s="14"/>
      <c r="C57" s="84"/>
      <c r="D57" s="164"/>
      <c r="E57" s="125"/>
      <c r="F57" s="186"/>
      <c r="G57" s="88"/>
      <c r="H57" s="89"/>
      <c r="I57" s="84"/>
      <c r="J57" s="88"/>
      <c r="K57" s="89"/>
      <c r="L57" s="84"/>
      <c r="M57" s="107"/>
      <c r="N57" s="89"/>
      <c r="O57" s="151"/>
    </row>
    <row r="58" spans="1:15" ht="14.5" thickBot="1" x14ac:dyDescent="0.35">
      <c r="A58" s="13" t="s">
        <v>1</v>
      </c>
      <c r="B58" s="14">
        <f>C58+D58+E58+F58+G58+H58+I58+J58+K58+L58+M58+N58</f>
        <v>3659.7</v>
      </c>
      <c r="C58" s="7"/>
      <c r="D58" s="166">
        <v>3659.7</v>
      </c>
      <c r="E58" s="126"/>
      <c r="F58" s="187"/>
      <c r="G58" s="2"/>
      <c r="H58" s="8"/>
      <c r="I58" s="7">
        <v>0</v>
      </c>
      <c r="J58" s="2"/>
      <c r="K58" s="8"/>
      <c r="L58" s="7"/>
      <c r="M58" s="108">
        <v>0</v>
      </c>
      <c r="N58" s="8">
        <v>0</v>
      </c>
      <c r="O58" s="147">
        <v>0</v>
      </c>
    </row>
    <row r="59" spans="1:15" ht="14.5" thickBot="1" x14ac:dyDescent="0.35">
      <c r="A59" s="13" t="s">
        <v>83</v>
      </c>
      <c r="B59" s="23"/>
      <c r="C59" s="7"/>
      <c r="D59" s="166">
        <v>0</v>
      </c>
      <c r="E59" s="127">
        <v>0</v>
      </c>
      <c r="F59" s="188">
        <v>0</v>
      </c>
      <c r="G59" s="9"/>
      <c r="H59" s="10"/>
      <c r="I59" s="11"/>
      <c r="J59" s="2"/>
      <c r="K59" s="8"/>
      <c r="L59" s="7"/>
      <c r="M59" s="108">
        <v>0</v>
      </c>
      <c r="N59" s="8">
        <v>0</v>
      </c>
      <c r="O59" s="147"/>
    </row>
    <row r="60" spans="1:15" ht="14.5" thickBot="1" x14ac:dyDescent="0.35">
      <c r="A60" s="13" t="s">
        <v>160</v>
      </c>
      <c r="B60" s="23"/>
      <c r="C60" s="7"/>
      <c r="D60" s="166"/>
      <c r="E60" s="127"/>
      <c r="F60" s="188"/>
      <c r="G60" s="9"/>
      <c r="H60" s="10"/>
      <c r="I60" s="11"/>
      <c r="J60" s="2"/>
      <c r="K60" s="8"/>
      <c r="L60" s="7"/>
      <c r="M60" s="108"/>
      <c r="N60" s="8"/>
      <c r="O60" s="147"/>
    </row>
    <row r="61" spans="1:15" ht="14.5" thickBot="1" x14ac:dyDescent="0.35">
      <c r="A61" s="13" t="s">
        <v>133</v>
      </c>
      <c r="B61" s="23">
        <v>1404</v>
      </c>
      <c r="C61" s="7"/>
      <c r="D61" s="166"/>
      <c r="E61" s="127"/>
      <c r="F61" s="188"/>
      <c r="G61" s="9"/>
      <c r="H61" s="10"/>
      <c r="I61" s="11"/>
      <c r="J61" s="2"/>
      <c r="K61" s="8"/>
      <c r="L61" s="7">
        <v>1404</v>
      </c>
      <c r="M61" s="108"/>
      <c r="N61" s="8"/>
      <c r="O61" s="147"/>
    </row>
    <row r="62" spans="1:15" ht="14.5" thickBot="1" x14ac:dyDescent="0.35">
      <c r="A62" s="213" t="s">
        <v>33</v>
      </c>
      <c r="B62" s="23">
        <f>C62+D62+E62+F62+G62+H62+I62+J62</f>
        <v>1729.0400000000004</v>
      </c>
      <c r="C62" s="7">
        <v>216.13</v>
      </c>
      <c r="D62" s="225">
        <v>216.13</v>
      </c>
      <c r="E62" s="226">
        <v>216.13</v>
      </c>
      <c r="F62" s="188">
        <v>216.13</v>
      </c>
      <c r="G62" s="227">
        <v>216.13</v>
      </c>
      <c r="H62" s="8">
        <v>216.13</v>
      </c>
      <c r="I62" s="228">
        <v>216.13</v>
      </c>
      <c r="J62" s="2">
        <v>216.13</v>
      </c>
      <c r="K62" s="8"/>
      <c r="L62" s="7"/>
      <c r="M62" s="108"/>
      <c r="N62" s="8"/>
      <c r="O62" s="147"/>
    </row>
    <row r="63" spans="1:15" ht="14.5" thickBot="1" x14ac:dyDescent="0.35">
      <c r="A63" s="13" t="s">
        <v>98</v>
      </c>
      <c r="B63" s="23">
        <f t="shared" ref="B63:B71" si="1">C63+D63+E63+F63+G63+H63+I63+J63+K63+L63+M63+N63</f>
        <v>5937.5</v>
      </c>
      <c r="C63" s="214">
        <v>5937.5</v>
      </c>
      <c r="D63" s="167"/>
      <c r="E63" s="128"/>
      <c r="F63" s="186"/>
      <c r="G63" s="85"/>
      <c r="H63" s="89"/>
      <c r="I63" s="87"/>
      <c r="J63" s="88"/>
      <c r="K63" s="89"/>
      <c r="L63" s="84"/>
      <c r="M63" s="107"/>
      <c r="N63" s="89"/>
      <c r="O63" s="147"/>
    </row>
    <row r="64" spans="1:15" ht="14.5" thickBot="1" x14ac:dyDescent="0.35">
      <c r="A64" s="13"/>
      <c r="B64" s="23">
        <f t="shared" si="1"/>
        <v>0</v>
      </c>
      <c r="C64" s="7"/>
      <c r="D64" s="165"/>
      <c r="E64" s="126"/>
      <c r="F64" s="188"/>
      <c r="G64" s="9"/>
      <c r="H64" s="8"/>
      <c r="I64" s="11"/>
      <c r="J64" s="2"/>
      <c r="K64" s="8"/>
      <c r="L64" s="7"/>
      <c r="M64" s="108"/>
      <c r="N64" s="8"/>
      <c r="O64" s="147"/>
    </row>
    <row r="65" spans="1:15" ht="14.5" thickBot="1" x14ac:dyDescent="0.35">
      <c r="A65" s="13" t="s">
        <v>2</v>
      </c>
      <c r="B65" s="23">
        <f t="shared" si="1"/>
        <v>0</v>
      </c>
      <c r="C65" s="84"/>
      <c r="D65" s="167"/>
      <c r="E65" s="128"/>
      <c r="F65" s="186"/>
      <c r="G65" s="88"/>
      <c r="H65" s="89"/>
      <c r="I65" s="87"/>
      <c r="J65" s="88"/>
      <c r="K65" s="89"/>
      <c r="L65" s="84"/>
      <c r="M65" s="107"/>
      <c r="N65" s="89"/>
      <c r="O65" s="147"/>
    </row>
    <row r="66" spans="1:15" ht="14.5" thickBot="1" x14ac:dyDescent="0.35">
      <c r="A66" s="13" t="s">
        <v>102</v>
      </c>
      <c r="B66" s="23">
        <f t="shared" ref="B66" si="2">C66+D66+E66+F66+G66+H66+I66+J66+K66+L66+M66+N66</f>
        <v>0</v>
      </c>
      <c r="C66" s="84"/>
      <c r="D66" s="167"/>
      <c r="E66" s="128"/>
      <c r="F66" s="186"/>
      <c r="G66" s="88"/>
      <c r="H66" s="89"/>
      <c r="I66" s="87"/>
      <c r="J66" s="88"/>
      <c r="K66" s="89"/>
      <c r="L66" s="84"/>
      <c r="M66" s="107"/>
      <c r="N66" s="89"/>
      <c r="O66" s="147"/>
    </row>
    <row r="67" spans="1:15" ht="14.5" thickBot="1" x14ac:dyDescent="0.35">
      <c r="A67" s="213" t="s">
        <v>131</v>
      </c>
      <c r="B67" s="23">
        <f t="shared" si="1"/>
        <v>0</v>
      </c>
      <c r="C67" s="84"/>
      <c r="D67" s="167"/>
      <c r="E67" s="128"/>
      <c r="F67" s="186"/>
      <c r="G67" s="88"/>
      <c r="H67" s="89"/>
      <c r="I67" s="87"/>
      <c r="J67" s="88"/>
      <c r="K67" s="89"/>
      <c r="L67" s="84"/>
      <c r="M67" s="107"/>
      <c r="N67" s="89"/>
      <c r="O67" s="147"/>
    </row>
    <row r="68" spans="1:15" ht="14.5" thickBot="1" x14ac:dyDescent="0.35">
      <c r="A68" s="13" t="s">
        <v>189</v>
      </c>
      <c r="B68" s="23">
        <f t="shared" si="1"/>
        <v>1634</v>
      </c>
      <c r="C68" s="215">
        <v>1634</v>
      </c>
      <c r="D68" s="165"/>
      <c r="E68" s="126"/>
      <c r="F68" s="188"/>
      <c r="G68" s="9"/>
      <c r="H68" s="8"/>
      <c r="I68" s="11"/>
      <c r="J68" s="2"/>
      <c r="K68" s="8"/>
      <c r="L68" s="7"/>
      <c r="M68" s="108">
        <v>0</v>
      </c>
      <c r="N68" s="8">
        <v>0</v>
      </c>
      <c r="O68" s="147">
        <f>B68-N68-M68-L68-K68-J68-I68-H68-G68-F68-E68-D68-C68</f>
        <v>0</v>
      </c>
    </row>
    <row r="69" spans="1:15" ht="14.5" thickBot="1" x14ac:dyDescent="0.35">
      <c r="A69" s="13" t="s">
        <v>190</v>
      </c>
      <c r="B69" s="23">
        <v>3000</v>
      </c>
      <c r="C69" s="7">
        <v>1500</v>
      </c>
      <c r="D69" s="165"/>
      <c r="E69" s="126">
        <v>1500</v>
      </c>
      <c r="F69" s="188"/>
      <c r="G69" s="9"/>
      <c r="H69" s="8"/>
      <c r="I69" s="11"/>
      <c r="J69" s="2"/>
      <c r="K69" s="8"/>
      <c r="L69" s="7"/>
      <c r="M69" s="108">
        <v>0</v>
      </c>
      <c r="N69" s="8">
        <v>0</v>
      </c>
      <c r="O69" s="147">
        <f>B69-N69-M69-L69-K69-J69-I69-H69-G69-F69-E69-D69-C69</f>
        <v>0</v>
      </c>
    </row>
    <row r="70" spans="1:15" ht="14.5" thickBot="1" x14ac:dyDescent="0.35">
      <c r="A70" s="13" t="s">
        <v>165</v>
      </c>
      <c r="B70" s="23">
        <f t="shared" si="1"/>
        <v>313.32</v>
      </c>
      <c r="C70" s="215">
        <v>296.32</v>
      </c>
      <c r="D70" s="166">
        <v>17</v>
      </c>
      <c r="E70" s="127"/>
      <c r="F70" s="188"/>
      <c r="G70" s="2"/>
      <c r="H70" s="8"/>
      <c r="I70" s="11"/>
      <c r="J70" s="2"/>
      <c r="K70" s="8"/>
      <c r="L70" s="7"/>
      <c r="M70" s="108"/>
      <c r="N70" s="8"/>
      <c r="O70" s="147"/>
    </row>
    <row r="71" spans="1:15" ht="14.5" thickBot="1" x14ac:dyDescent="0.35">
      <c r="A71" s="13" t="s">
        <v>111</v>
      </c>
      <c r="B71" s="23">
        <f t="shared" si="1"/>
        <v>4282.5969999999998</v>
      </c>
      <c r="C71" s="7">
        <v>192.99</v>
      </c>
      <c r="D71" s="168">
        <v>358</v>
      </c>
      <c r="E71" s="129">
        <v>391.84</v>
      </c>
      <c r="F71" s="188">
        <v>371.767</v>
      </c>
      <c r="G71" s="2">
        <v>371</v>
      </c>
      <c r="H71" s="8">
        <v>371</v>
      </c>
      <c r="I71" s="81">
        <v>371</v>
      </c>
      <c r="J71" s="2">
        <v>371</v>
      </c>
      <c r="K71" s="8">
        <v>371</v>
      </c>
      <c r="L71" s="7">
        <v>371</v>
      </c>
      <c r="M71" s="108">
        <v>371</v>
      </c>
      <c r="N71" s="8">
        <v>371</v>
      </c>
      <c r="O71" s="147"/>
    </row>
    <row r="72" spans="1:15" ht="14.5" thickBot="1" x14ac:dyDescent="0.35">
      <c r="A72" s="13"/>
      <c r="B72" s="23"/>
      <c r="C72" s="7">
        <v>0</v>
      </c>
      <c r="D72" s="165"/>
      <c r="E72" s="126"/>
      <c r="F72" s="188">
        <v>0</v>
      </c>
      <c r="G72" s="2"/>
      <c r="H72" s="8">
        <v>0</v>
      </c>
      <c r="I72" s="11"/>
      <c r="J72" s="2"/>
      <c r="K72" s="89"/>
      <c r="L72" s="7"/>
      <c r="M72" s="108">
        <v>0</v>
      </c>
      <c r="N72" s="8">
        <v>0</v>
      </c>
      <c r="O72" s="147"/>
    </row>
    <row r="73" spans="1:15" ht="14.5" thickBot="1" x14ac:dyDescent="0.35">
      <c r="A73" s="13" t="s">
        <v>73</v>
      </c>
      <c r="B73" s="23">
        <f t="shared" ref="B73:B84" si="3">C73+D73+E73+F73+G73+H73+I73+J73+K73+L73+M73+N73</f>
        <v>130</v>
      </c>
      <c r="C73" s="215">
        <v>130</v>
      </c>
      <c r="D73" s="165"/>
      <c r="E73" s="126"/>
      <c r="F73" s="188"/>
      <c r="G73" s="9"/>
      <c r="H73" s="8"/>
      <c r="I73" s="11"/>
      <c r="J73" s="2"/>
      <c r="K73" s="8"/>
      <c r="L73" s="7"/>
      <c r="M73" s="108">
        <v>0</v>
      </c>
      <c r="N73" s="8">
        <v>0</v>
      </c>
      <c r="O73" s="147">
        <f>B73-N73-M73-L73-K73-J73-I73-H73-G73-F73-E73-D73-C73</f>
        <v>0</v>
      </c>
    </row>
    <row r="74" spans="1:15" ht="14.5" thickBot="1" x14ac:dyDescent="0.35">
      <c r="A74" s="13" t="s">
        <v>103</v>
      </c>
      <c r="B74" s="23"/>
      <c r="C74" s="7">
        <v>0</v>
      </c>
      <c r="D74" s="165"/>
      <c r="E74" s="126"/>
      <c r="F74" s="188"/>
      <c r="G74" s="9"/>
      <c r="H74" s="8"/>
      <c r="I74" s="11"/>
      <c r="J74" s="2"/>
      <c r="K74" s="8"/>
      <c r="L74" s="7"/>
      <c r="M74" s="108">
        <v>0</v>
      </c>
      <c r="N74" s="8">
        <v>0</v>
      </c>
      <c r="O74" s="147"/>
    </row>
    <row r="75" spans="1:15" ht="14.5" thickBot="1" x14ac:dyDescent="0.35">
      <c r="A75" s="13" t="s">
        <v>104</v>
      </c>
      <c r="B75" s="23"/>
      <c r="C75" s="7"/>
      <c r="D75" s="165"/>
      <c r="E75" s="126"/>
      <c r="F75" s="188">
        <v>10120</v>
      </c>
      <c r="G75" s="9"/>
      <c r="H75" s="8"/>
      <c r="I75" s="11"/>
      <c r="J75" s="2"/>
      <c r="K75" s="8"/>
      <c r="L75" s="7"/>
      <c r="M75" s="108"/>
      <c r="N75" s="8"/>
      <c r="O75" s="147"/>
    </row>
    <row r="76" spans="1:15" ht="14.5" thickBot="1" x14ac:dyDescent="0.35">
      <c r="A76" s="13" t="s">
        <v>150</v>
      </c>
      <c r="B76" s="23"/>
      <c r="C76" s="7"/>
      <c r="D76" s="165"/>
      <c r="E76" s="126"/>
      <c r="F76" s="188"/>
      <c r="G76" s="9"/>
      <c r="H76" s="8"/>
      <c r="I76" s="11"/>
      <c r="J76" s="2"/>
      <c r="K76" s="8"/>
      <c r="L76" s="7"/>
      <c r="M76" s="108"/>
      <c r="N76" s="8"/>
      <c r="O76" s="147"/>
    </row>
    <row r="77" spans="1:15" ht="14.5" thickBot="1" x14ac:dyDescent="0.35">
      <c r="A77" s="13" t="s">
        <v>166</v>
      </c>
      <c r="B77" s="23">
        <v>1898</v>
      </c>
      <c r="C77" s="215">
        <v>480</v>
      </c>
      <c r="D77" s="165">
        <v>480</v>
      </c>
      <c r="E77" s="126">
        <v>480</v>
      </c>
      <c r="F77" s="188"/>
      <c r="G77" s="9"/>
      <c r="H77" s="8"/>
      <c r="I77" s="11"/>
      <c r="J77" s="2"/>
      <c r="K77" s="8"/>
      <c r="L77" s="7"/>
      <c r="M77" s="108"/>
      <c r="N77" s="8"/>
      <c r="O77" s="147"/>
    </row>
    <row r="78" spans="1:15" ht="14.5" thickBot="1" x14ac:dyDescent="0.35">
      <c r="A78" s="13" t="s">
        <v>218</v>
      </c>
      <c r="B78" s="212">
        <v>8113.82</v>
      </c>
      <c r="C78" s="7"/>
      <c r="D78" s="166">
        <v>8113.82</v>
      </c>
      <c r="E78" s="126"/>
      <c r="F78" s="188"/>
      <c r="G78" s="9"/>
      <c r="H78" s="8"/>
      <c r="I78" s="11"/>
      <c r="J78" s="2"/>
      <c r="K78" s="8"/>
      <c r="L78" s="7"/>
      <c r="M78" s="108"/>
      <c r="N78" s="8"/>
      <c r="O78" s="147"/>
    </row>
    <row r="79" spans="1:15" ht="14.5" thickBot="1" x14ac:dyDescent="0.35">
      <c r="A79" s="13" t="s">
        <v>107</v>
      </c>
      <c r="B79" s="23"/>
      <c r="C79" s="7"/>
      <c r="D79" s="165"/>
      <c r="E79" s="126"/>
      <c r="F79" s="188">
        <v>3726</v>
      </c>
      <c r="G79" s="9"/>
      <c r="H79" s="8"/>
      <c r="I79" s="11"/>
      <c r="J79" s="2"/>
      <c r="K79" s="8"/>
      <c r="L79" s="7"/>
      <c r="M79" s="108"/>
      <c r="N79" s="8"/>
      <c r="O79" s="147"/>
    </row>
    <row r="80" spans="1:15" ht="14.5" thickBot="1" x14ac:dyDescent="0.35">
      <c r="A80" s="13" t="s">
        <v>101</v>
      </c>
      <c r="B80" s="23">
        <f>C80+D80+E80+F80+G80+H80+I80+J80+K80+L80+M80+N80</f>
        <v>6165</v>
      </c>
      <c r="C80" s="7">
        <v>1000</v>
      </c>
      <c r="D80" s="165">
        <v>5165</v>
      </c>
      <c r="E80" s="126"/>
      <c r="F80" s="188"/>
      <c r="G80" s="2"/>
      <c r="H80" s="8"/>
      <c r="I80" s="11"/>
      <c r="J80" s="2"/>
      <c r="K80" s="8"/>
      <c r="L80" s="7"/>
      <c r="M80" s="108"/>
      <c r="N80" s="8"/>
      <c r="O80" s="147"/>
    </row>
    <row r="81" spans="1:15" ht="14.5" thickBot="1" x14ac:dyDescent="0.35">
      <c r="A81" s="13" t="s">
        <v>100</v>
      </c>
      <c r="B81" s="23">
        <f>C81+D81+E81+F81+G81+H81+I81+J81+K81+L81+M81+N81</f>
        <v>0</v>
      </c>
      <c r="C81" s="7">
        <v>0</v>
      </c>
      <c r="D81" s="165"/>
      <c r="E81" s="126"/>
      <c r="F81" s="188"/>
      <c r="G81" s="9"/>
      <c r="H81" s="8"/>
      <c r="I81" s="11"/>
      <c r="J81" s="2"/>
      <c r="K81" s="8"/>
      <c r="L81" s="7"/>
      <c r="M81" s="108">
        <v>0</v>
      </c>
      <c r="N81" s="8">
        <v>0</v>
      </c>
      <c r="O81" s="147">
        <f>B81-N81-M81-L81-K81-J81-I81-H81-G81-F81-E81-D81-C81</f>
        <v>0</v>
      </c>
    </row>
    <row r="82" spans="1:15" ht="14.5" thickBot="1" x14ac:dyDescent="0.35">
      <c r="A82" s="13" t="s">
        <v>108</v>
      </c>
      <c r="B82" s="23">
        <f t="shared" si="3"/>
        <v>450</v>
      </c>
      <c r="C82" s="7">
        <v>150</v>
      </c>
      <c r="D82" s="165"/>
      <c r="E82" s="126">
        <v>300</v>
      </c>
      <c r="F82" s="188"/>
      <c r="G82" s="2"/>
      <c r="H82" s="8"/>
      <c r="I82" s="11"/>
      <c r="J82" s="2"/>
      <c r="K82" s="8"/>
      <c r="L82" s="11"/>
      <c r="M82" s="108"/>
      <c r="N82" s="8"/>
      <c r="O82" s="147"/>
    </row>
    <row r="83" spans="1:15" ht="14.5" thickBot="1" x14ac:dyDescent="0.35">
      <c r="A83" s="13" t="s">
        <v>188</v>
      </c>
      <c r="B83" s="23">
        <f t="shared" si="3"/>
        <v>0</v>
      </c>
      <c r="C83" s="7">
        <v>0</v>
      </c>
      <c r="D83" s="165"/>
      <c r="E83" s="126"/>
      <c r="F83" s="188"/>
      <c r="G83" s="9"/>
      <c r="H83" s="8"/>
      <c r="I83" s="11"/>
      <c r="J83" s="2"/>
      <c r="K83" s="8"/>
      <c r="L83" s="11"/>
      <c r="M83" s="108">
        <v>0</v>
      </c>
      <c r="N83" s="8">
        <v>0</v>
      </c>
      <c r="O83" s="147">
        <f>B83-N83-M83-L83-K83-J83-I83-H83-G83-F83-E83-D83-C83</f>
        <v>0</v>
      </c>
    </row>
    <row r="84" spans="1:15" ht="14.5" thickBot="1" x14ac:dyDescent="0.35">
      <c r="A84" s="13" t="s">
        <v>109</v>
      </c>
      <c r="B84" s="23">
        <f t="shared" si="3"/>
        <v>0</v>
      </c>
      <c r="C84" s="7">
        <v>0</v>
      </c>
      <c r="D84" s="108"/>
      <c r="E84" s="192"/>
      <c r="F84" s="188"/>
      <c r="G84" s="2"/>
      <c r="H84" s="2"/>
      <c r="I84" s="11"/>
      <c r="J84" s="2"/>
      <c r="K84" s="8"/>
      <c r="L84" s="11"/>
      <c r="M84" s="108">
        <v>0</v>
      </c>
      <c r="N84" s="8">
        <v>0</v>
      </c>
      <c r="O84" s="147">
        <f>B84-N84-M84-L84-K84-J84-I84-H84-G84-F84-E84-D84-C84</f>
        <v>0</v>
      </c>
    </row>
    <row r="85" spans="1:15" ht="14.5" thickBot="1" x14ac:dyDescent="0.35">
      <c r="A85" s="13" t="s">
        <v>153</v>
      </c>
      <c r="B85" s="23"/>
      <c r="C85" s="7"/>
      <c r="D85" s="108"/>
      <c r="E85" s="192"/>
      <c r="F85" s="188"/>
      <c r="G85" s="2"/>
      <c r="H85" s="2"/>
      <c r="I85" s="11"/>
      <c r="J85" s="2"/>
      <c r="K85" s="8"/>
      <c r="L85" s="11"/>
      <c r="M85" s="108"/>
      <c r="N85" s="8"/>
      <c r="O85" s="147"/>
    </row>
    <row r="86" spans="1:15" ht="14.5" thickBot="1" x14ac:dyDescent="0.35">
      <c r="A86" s="15" t="s">
        <v>139</v>
      </c>
      <c r="B86" s="177"/>
      <c r="C86" s="7"/>
      <c r="D86" s="108"/>
      <c r="E86" s="192"/>
      <c r="F86" s="188"/>
      <c r="G86" s="2"/>
      <c r="H86" s="2"/>
      <c r="I86" s="11"/>
      <c r="J86" s="2"/>
      <c r="K86" s="8"/>
      <c r="L86" s="11"/>
      <c r="M86" s="108"/>
      <c r="N86" s="8"/>
      <c r="O86" s="147"/>
    </row>
    <row r="87" spans="1:15" ht="14.5" thickBot="1" x14ac:dyDescent="0.35">
      <c r="A87" s="15" t="s">
        <v>84</v>
      </c>
      <c r="B87" s="15">
        <v>0</v>
      </c>
      <c r="C87" s="7">
        <v>0</v>
      </c>
      <c r="D87" s="108"/>
      <c r="E87" s="192"/>
      <c r="F87" s="188">
        <v>0</v>
      </c>
      <c r="G87" s="2"/>
      <c r="H87" s="2"/>
      <c r="I87" s="11">
        <v>0</v>
      </c>
      <c r="J87" s="2"/>
      <c r="K87" s="8"/>
      <c r="L87" s="11">
        <v>0</v>
      </c>
      <c r="M87" s="108"/>
      <c r="N87" s="8"/>
      <c r="O87" s="147">
        <f>N87-M87-L87-K87-J87-I87-H87-G87-F87-E87-D87-C87</f>
        <v>0</v>
      </c>
    </row>
    <row r="88" spans="1:15" ht="14.5" thickBot="1" x14ac:dyDescent="0.35">
      <c r="A88" s="15" t="s">
        <v>29</v>
      </c>
      <c r="B88" s="75">
        <f>N88+M88+L88+K88+J88+I88+H88+G88+F88+E88+D88+C88</f>
        <v>0</v>
      </c>
      <c r="C88" s="178">
        <f t="shared" ref="C88:N88" si="4">C103*15%</f>
        <v>0</v>
      </c>
      <c r="D88" s="179">
        <f t="shared" si="4"/>
        <v>0</v>
      </c>
      <c r="E88" s="180">
        <f t="shared" si="4"/>
        <v>0</v>
      </c>
      <c r="F88" s="189">
        <f t="shared" si="4"/>
        <v>0</v>
      </c>
      <c r="G88" s="179">
        <f t="shared" si="4"/>
        <v>0</v>
      </c>
      <c r="H88" s="180">
        <f t="shared" si="4"/>
        <v>0</v>
      </c>
      <c r="I88" s="178">
        <f t="shared" si="4"/>
        <v>0</v>
      </c>
      <c r="J88" s="179">
        <f t="shared" si="4"/>
        <v>0</v>
      </c>
      <c r="K88" s="180">
        <f t="shared" si="4"/>
        <v>0</v>
      </c>
      <c r="L88" s="178">
        <f t="shared" si="4"/>
        <v>0</v>
      </c>
      <c r="M88" s="179">
        <f t="shared" si="4"/>
        <v>0</v>
      </c>
      <c r="N88" s="180">
        <f t="shared" si="4"/>
        <v>0</v>
      </c>
      <c r="O88" s="147">
        <v>0</v>
      </c>
    </row>
    <row r="89" spans="1:15" ht="14.5" thickBot="1" x14ac:dyDescent="0.35">
      <c r="A89" s="17" t="s">
        <v>7</v>
      </c>
      <c r="B89" s="18">
        <v>315000</v>
      </c>
      <c r="C89" s="7">
        <v>0</v>
      </c>
      <c r="D89" s="165"/>
      <c r="E89" s="126"/>
      <c r="F89" s="187"/>
      <c r="G89" s="9"/>
      <c r="H89" s="8"/>
      <c r="I89" s="7"/>
      <c r="J89" s="2"/>
      <c r="K89" s="8"/>
      <c r="L89" s="7"/>
      <c r="M89" s="108"/>
      <c r="N89" s="8"/>
      <c r="O89" s="147">
        <f>B89-N89-M89-L89-K89-J89-I89-H89-G89-F89-E89-D89-C89</f>
        <v>315000</v>
      </c>
    </row>
    <row r="90" spans="1:15" ht="14.5" thickBot="1" x14ac:dyDescent="0.35">
      <c r="A90" s="17" t="s">
        <v>27</v>
      </c>
      <c r="B90" s="18">
        <v>345000</v>
      </c>
      <c r="C90" s="84"/>
      <c r="D90" s="167"/>
      <c r="E90" s="128"/>
      <c r="F90" s="190"/>
      <c r="G90" s="85"/>
      <c r="H90" s="86"/>
      <c r="I90" s="87"/>
      <c r="J90" s="88"/>
      <c r="K90" s="89"/>
      <c r="L90" s="87"/>
      <c r="M90" s="109"/>
      <c r="N90" s="86"/>
      <c r="O90" s="152">
        <f>B90-N90-M90-L90-K90-J90-I90-H90-G90-F90-E90-D90-C90</f>
        <v>345000</v>
      </c>
    </row>
    <row r="91" spans="1:15" ht="14.5" thickBot="1" x14ac:dyDescent="0.35">
      <c r="A91" s="17" t="s">
        <v>28</v>
      </c>
      <c r="B91" s="18">
        <v>24045</v>
      </c>
      <c r="C91" s="84"/>
      <c r="D91" s="167"/>
      <c r="E91" s="128"/>
      <c r="F91" s="190"/>
      <c r="G91" s="85"/>
      <c r="H91" s="86"/>
      <c r="I91" s="87"/>
      <c r="J91" s="88"/>
      <c r="K91" s="89"/>
      <c r="L91" s="87"/>
      <c r="M91" s="109"/>
      <c r="N91" s="86"/>
      <c r="O91" s="152">
        <f>B91-N91-M91-L91-K91-J91-I91-H91-G91--F91-E91-D91-C91</f>
        <v>24045</v>
      </c>
    </row>
    <row r="92" spans="1:15" ht="18.649999999999999" customHeight="1" thickBot="1" x14ac:dyDescent="0.35">
      <c r="A92" s="17" t="s">
        <v>9</v>
      </c>
      <c r="B92" s="18">
        <v>200000</v>
      </c>
      <c r="C92" s="84"/>
      <c r="D92" s="164"/>
      <c r="E92" s="128"/>
      <c r="F92" s="186"/>
      <c r="G92" s="88"/>
      <c r="H92" s="89"/>
      <c r="I92" s="84"/>
      <c r="J92" s="88"/>
      <c r="K92" s="89"/>
      <c r="L92" s="84"/>
      <c r="M92" s="107"/>
      <c r="N92" s="89"/>
      <c r="O92" s="147">
        <f>B92-N92-M92-L92-K92-J92-I92-H92--G92-F92-E92-D92-C92</f>
        <v>200000</v>
      </c>
    </row>
    <row r="93" spans="1:15" ht="14.5" thickBot="1" x14ac:dyDescent="0.35">
      <c r="A93" s="17" t="s">
        <v>8</v>
      </c>
      <c r="B93" s="18">
        <v>115000</v>
      </c>
      <c r="C93" s="84"/>
      <c r="D93" s="167"/>
      <c r="E93" s="128"/>
      <c r="F93" s="186"/>
      <c r="G93" s="88"/>
      <c r="H93" s="89"/>
      <c r="I93" s="84"/>
      <c r="J93" s="88"/>
      <c r="K93" s="89"/>
      <c r="L93" s="84"/>
      <c r="M93" s="107"/>
      <c r="N93" s="89"/>
      <c r="O93" s="147">
        <f>B93-N93-M93-L93-K93-J93-I93-H93-G93-F93-E93-D93-C93</f>
        <v>115000</v>
      </c>
    </row>
    <row r="94" spans="1:15" ht="14.5" thickBot="1" x14ac:dyDescent="0.35">
      <c r="A94" s="202" t="s">
        <v>32</v>
      </c>
      <c r="B94" s="203">
        <v>46625</v>
      </c>
      <c r="C94" s="204"/>
      <c r="D94" s="205">
        <v>10000</v>
      </c>
      <c r="E94" s="206"/>
      <c r="F94" s="190"/>
      <c r="G94" s="186"/>
      <c r="H94" s="207"/>
      <c r="I94" s="204"/>
      <c r="J94" s="186"/>
      <c r="K94" s="207"/>
      <c r="L94" s="204"/>
      <c r="M94" s="186"/>
      <c r="N94" s="207"/>
      <c r="O94" s="147">
        <f>B94-N94-M94-L94-K94-J94-I94-H94-G94-F94-E94-D94-C94</f>
        <v>36625</v>
      </c>
    </row>
    <row r="95" spans="1:15" ht="16.25" customHeight="1" thickBot="1" x14ac:dyDescent="0.35">
      <c r="A95" s="202" t="s">
        <v>26</v>
      </c>
      <c r="B95" s="203">
        <v>127799</v>
      </c>
      <c r="C95" s="208"/>
      <c r="D95" s="209"/>
      <c r="E95" s="210">
        <v>5000</v>
      </c>
      <c r="F95" s="186"/>
      <c r="G95" s="186"/>
      <c r="H95" s="207"/>
      <c r="I95" s="204"/>
      <c r="J95" s="186"/>
      <c r="K95" s="207"/>
      <c r="L95" s="204"/>
      <c r="M95" s="186"/>
      <c r="N95" s="207"/>
      <c r="O95" s="147">
        <f>B95-N95-M95-L95-K95-J95-I95-H95-G95-F95-E95-D95-C95</f>
        <v>122799</v>
      </c>
    </row>
    <row r="96" spans="1:15" ht="14.5" thickBot="1" x14ac:dyDescent="0.35">
      <c r="A96" s="202" t="s">
        <v>10</v>
      </c>
      <c r="B96" s="203">
        <v>200000</v>
      </c>
      <c r="C96" s="204"/>
      <c r="D96" s="209"/>
      <c r="E96" s="206"/>
      <c r="F96" s="186"/>
      <c r="G96" s="190"/>
      <c r="H96" s="207"/>
      <c r="I96" s="204"/>
      <c r="J96" s="186"/>
      <c r="K96" s="207"/>
      <c r="L96" s="204"/>
      <c r="M96" s="186"/>
      <c r="N96" s="207"/>
      <c r="O96" s="147">
        <f>B96-C96-D96-E96-F96-G96-H96-I96-J96-K96-L96-M96-N96</f>
        <v>200000</v>
      </c>
    </row>
    <row r="97" spans="1:15" ht="14.5" thickBot="1" x14ac:dyDescent="0.35">
      <c r="A97" s="202" t="s">
        <v>159</v>
      </c>
      <c r="B97" s="203">
        <v>7000</v>
      </c>
      <c r="C97" s="204">
        <v>1000</v>
      </c>
      <c r="D97" s="209"/>
      <c r="E97" s="206">
        <v>5000</v>
      </c>
      <c r="F97" s="186">
        <v>1000</v>
      </c>
      <c r="G97" s="190"/>
      <c r="H97" s="186"/>
      <c r="I97" s="204"/>
      <c r="J97" s="186"/>
      <c r="K97" s="207"/>
      <c r="L97" s="186"/>
      <c r="M97" s="186"/>
      <c r="N97" s="207"/>
      <c r="O97" s="147"/>
    </row>
    <row r="98" spans="1:15" ht="19.25" customHeight="1" thickBot="1" x14ac:dyDescent="0.35">
      <c r="A98" s="193" t="s">
        <v>157</v>
      </c>
      <c r="B98" s="194">
        <v>20000</v>
      </c>
      <c r="C98" s="7"/>
      <c r="D98" s="2"/>
      <c r="E98" s="10"/>
      <c r="F98" s="2"/>
      <c r="G98" s="9"/>
      <c r="H98" s="2"/>
      <c r="I98" s="7"/>
      <c r="J98" s="2"/>
      <c r="K98" s="8"/>
      <c r="L98" s="2"/>
      <c r="M98" s="2"/>
      <c r="N98" s="36"/>
      <c r="O98" s="32"/>
    </row>
    <row r="99" spans="1:15" ht="14.5" thickBot="1" x14ac:dyDescent="0.35">
      <c r="A99" s="193" t="s">
        <v>158</v>
      </c>
      <c r="B99" s="194">
        <v>5000</v>
      </c>
      <c r="C99" s="7"/>
      <c r="D99" s="2"/>
      <c r="E99" s="10"/>
      <c r="F99" s="2"/>
      <c r="G99" s="9"/>
      <c r="H99" s="2"/>
      <c r="I99" s="7"/>
      <c r="J99" s="2"/>
      <c r="K99" s="8"/>
      <c r="L99" s="2"/>
      <c r="M99" s="2"/>
      <c r="N99" s="36"/>
      <c r="O99" s="32"/>
    </row>
    <row r="100" spans="1:15" ht="14.5" thickBot="1" x14ac:dyDescent="0.35">
      <c r="A100" s="193" t="s">
        <v>155</v>
      </c>
      <c r="B100" s="194">
        <v>5210</v>
      </c>
      <c r="C100" s="195"/>
      <c r="D100" s="85"/>
      <c r="E100" s="196">
        <v>5210</v>
      </c>
      <c r="F100" s="197"/>
      <c r="G100" s="85"/>
      <c r="H100" s="198"/>
      <c r="I100" s="195"/>
      <c r="J100" s="198"/>
      <c r="K100" s="199"/>
      <c r="L100" s="198"/>
      <c r="M100" s="198"/>
      <c r="N100" s="200"/>
      <c r="O100" s="201"/>
    </row>
    <row r="101" spans="1:15" ht="14.5" thickBot="1" x14ac:dyDescent="0.35">
      <c r="A101" s="82" t="s">
        <v>11</v>
      </c>
      <c r="B101" s="83">
        <f>SUM(B56:B99)</f>
        <v>1445495.977</v>
      </c>
      <c r="C101" s="40">
        <f>SUM(C56:C99)</f>
        <v>13846.94</v>
      </c>
      <c r="D101" s="156">
        <f>SUM(D56:D99)</f>
        <v>28009.65</v>
      </c>
      <c r="E101" s="149">
        <f>SUM(E56:E100)</f>
        <v>18097.97</v>
      </c>
      <c r="F101" s="191">
        <f t="shared" ref="F101:O101" si="5">SUM(F56:F99)</f>
        <v>15433.897000000001</v>
      </c>
      <c r="G101" s="43">
        <f t="shared" si="5"/>
        <v>587.13</v>
      </c>
      <c r="H101" s="44">
        <f t="shared" si="5"/>
        <v>587.13</v>
      </c>
      <c r="I101" s="40">
        <f t="shared" si="5"/>
        <v>587.13</v>
      </c>
      <c r="J101" s="41">
        <f t="shared" si="5"/>
        <v>587.13</v>
      </c>
      <c r="K101" s="150">
        <f t="shared" si="5"/>
        <v>371</v>
      </c>
      <c r="L101" s="40">
        <f t="shared" si="5"/>
        <v>1775</v>
      </c>
      <c r="M101" s="156">
        <f t="shared" si="5"/>
        <v>371</v>
      </c>
      <c r="N101" s="150">
        <f t="shared" si="5"/>
        <v>371</v>
      </c>
      <c r="O101" s="153">
        <f t="shared" si="5"/>
        <v>1358469</v>
      </c>
    </row>
    <row r="102" spans="1:15" ht="16" thickBot="1" x14ac:dyDescent="0.35">
      <c r="A102" s="102"/>
      <c r="B102" s="101"/>
      <c r="C102" s="91"/>
      <c r="D102" s="92"/>
      <c r="E102" s="92"/>
      <c r="F102" s="92"/>
      <c r="G102" s="92"/>
      <c r="H102" s="92"/>
      <c r="I102" s="92"/>
      <c r="J102" s="93"/>
      <c r="K102" s="93"/>
      <c r="L102" s="93"/>
      <c r="M102" s="93"/>
      <c r="N102" s="94"/>
      <c r="O102" s="1"/>
    </row>
    <row r="103" spans="1:15" ht="14.5" thickBot="1" x14ac:dyDescent="0.35">
      <c r="A103" s="336"/>
      <c r="B103" s="337"/>
      <c r="C103" s="95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7"/>
    </row>
    <row r="104" spans="1:15" ht="16" thickBot="1" x14ac:dyDescent="0.35">
      <c r="A104" s="103"/>
      <c r="B104" s="104"/>
      <c r="C104" s="98"/>
      <c r="D104" s="99"/>
      <c r="E104" s="99"/>
      <c r="F104" s="99"/>
      <c r="G104" s="99"/>
      <c r="H104" s="99"/>
      <c r="I104" s="99"/>
      <c r="J104" s="99"/>
      <c r="K104" s="99">
        <f t="shared" ref="K104:N104" si="6">K103-K101</f>
        <v>-371</v>
      </c>
      <c r="L104" s="99"/>
      <c r="M104" s="99">
        <f t="shared" si="6"/>
        <v>-371</v>
      </c>
      <c r="N104" s="100">
        <f t="shared" si="6"/>
        <v>-371</v>
      </c>
    </row>
    <row r="105" spans="1:15" x14ac:dyDescent="0.3">
      <c r="B105"/>
    </row>
    <row r="106" spans="1:15" x14ac:dyDescent="0.3">
      <c r="B106"/>
    </row>
    <row r="110" spans="1:15" x14ac:dyDescent="0.3">
      <c r="D110" s="216">
        <f>SUM(B89:B99)</f>
        <v>1405469</v>
      </c>
    </row>
    <row r="112" spans="1:15" x14ac:dyDescent="0.3">
      <c r="C112" s="217">
        <f>D110/60</f>
        <v>23424.483333333334</v>
      </c>
      <c r="D112">
        <f>D110*0.2</f>
        <v>281093.8</v>
      </c>
    </row>
    <row r="114" spans="2:5" x14ac:dyDescent="0.3">
      <c r="E114" s="216">
        <f>SUM(B94+B95+B96+B97+B98+B99)</f>
        <v>406424</v>
      </c>
    </row>
    <row r="115" spans="2:5" x14ac:dyDescent="0.3">
      <c r="D115">
        <f>SUM(E114*0.35)</f>
        <v>142248.4</v>
      </c>
    </row>
    <row r="121" spans="2:5" ht="19.75" customHeight="1" x14ac:dyDescent="0.3"/>
    <row r="122" spans="2:5" ht="28.75" customHeight="1" x14ac:dyDescent="0.3"/>
    <row r="123" spans="2:5" ht="19.75" customHeight="1" x14ac:dyDescent="0.3"/>
    <row r="124" spans="2:5" ht="18.649999999999999" customHeight="1" x14ac:dyDescent="0.3">
      <c r="B124"/>
    </row>
    <row r="125" spans="2:5" x14ac:dyDescent="0.3">
      <c r="B125"/>
    </row>
    <row r="126" spans="2:5" x14ac:dyDescent="0.3">
      <c r="B126"/>
    </row>
    <row r="127" spans="2:5" x14ac:dyDescent="0.3">
      <c r="B127"/>
    </row>
    <row r="128" spans="2:5" x14ac:dyDescent="0.3">
      <c r="B128"/>
    </row>
    <row r="129" spans="2:2" x14ac:dyDescent="0.3">
      <c r="B129"/>
    </row>
  </sheetData>
  <mergeCells count="6">
    <mergeCell ref="A103:B103"/>
    <mergeCell ref="C51:L51"/>
    <mergeCell ref="C2:L2"/>
    <mergeCell ref="N3:O3"/>
    <mergeCell ref="D54:E54"/>
    <mergeCell ref="K52:L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37D1-B8F2-4E0C-BA7D-D173DDC156F8}">
  <dimension ref="A3:N78"/>
  <sheetViews>
    <sheetView rightToLeft="1" workbookViewId="0">
      <selection activeCell="F25" sqref="F25"/>
    </sheetView>
  </sheetViews>
  <sheetFormatPr defaultRowHeight="14" x14ac:dyDescent="0.3"/>
  <cols>
    <col min="1" max="1" width="10.08203125" customWidth="1"/>
    <col min="2" max="2" width="9.08203125" customWidth="1"/>
    <col min="3" max="3" width="9.4140625" customWidth="1"/>
    <col min="4" max="4" width="9.1640625" customWidth="1"/>
    <col min="5" max="9" width="10.08203125" customWidth="1"/>
    <col min="10" max="12" width="9" bestFit="1" customWidth="1"/>
    <col min="13" max="13" width="10.5" bestFit="1" customWidth="1"/>
    <col min="14" max="14" width="11.08203125" bestFit="1" customWidth="1"/>
  </cols>
  <sheetData>
    <row r="3" spans="1:14" ht="19.25" customHeight="1" thickBot="1" x14ac:dyDescent="0.35">
      <c r="A3" s="272" t="s">
        <v>46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</row>
    <row r="4" spans="1:14" ht="15.65" customHeight="1" x14ac:dyDescent="0.3">
      <c r="A4" s="271" t="s">
        <v>49</v>
      </c>
      <c r="B4" s="133" t="s">
        <v>47</v>
      </c>
      <c r="C4" s="55" t="s">
        <v>47</v>
      </c>
      <c r="D4" s="55" t="s">
        <v>53</v>
      </c>
      <c r="E4" s="111" t="s">
        <v>47</v>
      </c>
      <c r="F4" s="55" t="s">
        <v>47</v>
      </c>
      <c r="G4" s="55" t="s">
        <v>47</v>
      </c>
      <c r="H4" s="55" t="s">
        <v>47</v>
      </c>
      <c r="I4" s="55" t="s">
        <v>53</v>
      </c>
      <c r="J4" s="55" t="s">
        <v>47</v>
      </c>
      <c r="K4" s="55" t="s">
        <v>53</v>
      </c>
      <c r="L4" s="56" t="s">
        <v>47</v>
      </c>
      <c r="M4" s="56" t="s">
        <v>47</v>
      </c>
    </row>
    <row r="5" spans="1:14" ht="16.25" customHeight="1" thickBot="1" x14ac:dyDescent="0.35">
      <c r="A5" s="272"/>
      <c r="B5" s="134" t="s">
        <v>48</v>
      </c>
      <c r="C5" s="57" t="s">
        <v>50</v>
      </c>
      <c r="D5" s="57" t="s">
        <v>51</v>
      </c>
      <c r="E5" s="112" t="s">
        <v>52</v>
      </c>
      <c r="F5" s="57" t="s">
        <v>119</v>
      </c>
      <c r="G5" s="57" t="s">
        <v>112</v>
      </c>
      <c r="H5" s="57" t="s">
        <v>113</v>
      </c>
      <c r="I5" s="57" t="s">
        <v>114</v>
      </c>
      <c r="J5" s="57" t="s">
        <v>115</v>
      </c>
      <c r="K5" s="57" t="s">
        <v>132</v>
      </c>
      <c r="L5" s="58" t="s">
        <v>116</v>
      </c>
      <c r="M5" s="58" t="s">
        <v>124</v>
      </c>
    </row>
    <row r="6" spans="1:14" x14ac:dyDescent="0.3">
      <c r="A6" s="59">
        <v>2015</v>
      </c>
      <c r="B6" s="113">
        <v>300</v>
      </c>
      <c r="C6" s="113">
        <v>300</v>
      </c>
      <c r="D6" s="113"/>
      <c r="E6" s="114"/>
      <c r="F6" s="113"/>
      <c r="G6" s="113"/>
      <c r="H6" s="113"/>
      <c r="I6" s="113"/>
      <c r="J6" s="113"/>
      <c r="K6" s="132"/>
      <c r="L6" s="135"/>
      <c r="M6" s="135"/>
      <c r="N6" s="117"/>
    </row>
    <row r="7" spans="1:14" x14ac:dyDescent="0.3">
      <c r="A7" s="79" t="s">
        <v>54</v>
      </c>
      <c r="B7" s="115">
        <v>1606</v>
      </c>
      <c r="C7" s="115">
        <v>770</v>
      </c>
      <c r="D7" s="115">
        <v>430</v>
      </c>
      <c r="E7" s="118"/>
      <c r="F7" s="115"/>
      <c r="G7" s="115"/>
      <c r="H7" s="115"/>
      <c r="I7" s="115"/>
      <c r="J7" s="115"/>
      <c r="K7" s="116"/>
      <c r="L7" s="136"/>
      <c r="M7" s="136"/>
      <c r="N7" s="117"/>
    </row>
    <row r="8" spans="1:14" x14ac:dyDescent="0.3">
      <c r="A8" s="79" t="s">
        <v>55</v>
      </c>
      <c r="B8" s="115">
        <v>2420</v>
      </c>
      <c r="C8" s="115">
        <v>1817</v>
      </c>
      <c r="D8" s="115">
        <v>1952</v>
      </c>
      <c r="E8" s="118">
        <v>3333</v>
      </c>
      <c r="F8" s="115"/>
      <c r="G8" s="115"/>
      <c r="H8" s="115"/>
      <c r="I8" s="115"/>
      <c r="J8" s="115"/>
      <c r="K8" s="116"/>
      <c r="L8" s="136"/>
      <c r="M8" s="136"/>
      <c r="N8" s="117"/>
    </row>
    <row r="9" spans="1:14" x14ac:dyDescent="0.3">
      <c r="A9" s="60">
        <v>45536</v>
      </c>
      <c r="B9" s="115">
        <v>310</v>
      </c>
      <c r="C9" s="115"/>
      <c r="D9" s="115"/>
      <c r="E9" s="118"/>
      <c r="F9" s="115"/>
      <c r="G9" s="115"/>
      <c r="H9" s="115"/>
      <c r="I9" s="115"/>
      <c r="J9" s="115"/>
      <c r="K9" s="116"/>
      <c r="L9" s="136"/>
      <c r="M9" s="136"/>
      <c r="N9" s="117"/>
    </row>
    <row r="10" spans="1:14" x14ac:dyDescent="0.3">
      <c r="A10" s="67">
        <v>45334</v>
      </c>
      <c r="B10" s="115">
        <v>116</v>
      </c>
      <c r="C10" s="115"/>
      <c r="D10" s="115"/>
      <c r="E10" s="118"/>
      <c r="F10" s="115"/>
      <c r="G10" s="115"/>
      <c r="H10" s="115"/>
      <c r="I10" s="115"/>
      <c r="J10" s="115"/>
      <c r="K10" s="116"/>
      <c r="L10" s="136"/>
      <c r="M10" s="136"/>
      <c r="N10" s="117"/>
    </row>
    <row r="11" spans="1:14" x14ac:dyDescent="0.3">
      <c r="A11" s="60">
        <v>45931</v>
      </c>
      <c r="B11" s="115">
        <v>358</v>
      </c>
      <c r="C11" s="273"/>
      <c r="D11" s="115">
        <v>345</v>
      </c>
      <c r="E11" s="118"/>
      <c r="F11" s="115">
        <v>391</v>
      </c>
      <c r="G11" s="115">
        <v>315</v>
      </c>
      <c r="H11" s="115">
        <v>477</v>
      </c>
      <c r="I11" s="115">
        <v>455</v>
      </c>
      <c r="J11" s="115">
        <v>383</v>
      </c>
      <c r="K11" s="116">
        <v>272</v>
      </c>
      <c r="L11" s="136">
        <v>461</v>
      </c>
      <c r="M11" s="136"/>
      <c r="N11" s="117"/>
    </row>
    <row r="12" spans="1:14" x14ac:dyDescent="0.3">
      <c r="A12" s="60"/>
      <c r="B12" s="115"/>
      <c r="C12" s="274"/>
      <c r="D12" s="115"/>
      <c r="E12" s="118"/>
      <c r="F12" s="115"/>
      <c r="G12" s="115"/>
      <c r="H12" s="115"/>
      <c r="I12" s="115"/>
      <c r="J12" s="115"/>
      <c r="K12" s="116"/>
      <c r="L12" s="136"/>
      <c r="M12" s="136"/>
      <c r="N12" s="117"/>
    </row>
    <row r="13" spans="1:14" x14ac:dyDescent="0.3">
      <c r="A13" s="60"/>
      <c r="B13" s="115"/>
      <c r="C13" s="274"/>
      <c r="D13" s="115"/>
      <c r="E13" s="118"/>
      <c r="F13" s="115"/>
      <c r="G13" s="115"/>
      <c r="H13" s="115"/>
      <c r="I13" s="115"/>
      <c r="J13" s="115"/>
      <c r="K13" s="116"/>
      <c r="L13" s="136"/>
      <c r="M13" s="136"/>
      <c r="N13" s="117"/>
    </row>
    <row r="14" spans="1:14" x14ac:dyDescent="0.3">
      <c r="A14" s="60"/>
      <c r="B14" s="115"/>
      <c r="C14" s="274"/>
      <c r="D14" s="115"/>
      <c r="E14" s="118"/>
      <c r="F14" s="115"/>
      <c r="G14" s="115"/>
      <c r="H14" s="115"/>
      <c r="I14" s="115"/>
      <c r="J14" s="115"/>
      <c r="K14" s="116"/>
      <c r="L14" s="136"/>
      <c r="M14" s="136"/>
      <c r="N14" s="117"/>
    </row>
    <row r="15" spans="1:14" x14ac:dyDescent="0.3">
      <c r="A15" s="79"/>
      <c r="B15" s="115"/>
      <c r="C15" s="274"/>
      <c r="D15" s="115"/>
      <c r="E15" s="118"/>
      <c r="F15" s="115"/>
      <c r="G15" s="115"/>
      <c r="H15" s="115"/>
      <c r="I15" s="115"/>
      <c r="J15" s="115"/>
      <c r="K15" s="116"/>
      <c r="L15" s="136"/>
      <c r="M15" s="136"/>
      <c r="N15" s="117"/>
    </row>
    <row r="16" spans="1:14" ht="14.5" thickBot="1" x14ac:dyDescent="0.35">
      <c r="A16" s="137"/>
      <c r="B16" s="138"/>
      <c r="C16" s="275"/>
      <c r="D16" s="138"/>
      <c r="E16" s="139"/>
      <c r="F16" s="138"/>
      <c r="G16" s="138"/>
      <c r="H16" s="138"/>
      <c r="I16" s="138"/>
      <c r="J16" s="138"/>
      <c r="K16" s="140"/>
      <c r="L16" s="141"/>
      <c r="M16" s="141"/>
      <c r="N16" s="117"/>
    </row>
    <row r="17" spans="1:14" ht="18" customHeight="1" thickBot="1" x14ac:dyDescent="0.35">
      <c r="A17" s="54" t="s">
        <v>56</v>
      </c>
      <c r="B17" s="119">
        <f t="shared" ref="B17:M17" si="0">SUM(B6:B16)</f>
        <v>5110</v>
      </c>
      <c r="C17" s="119">
        <f t="shared" si="0"/>
        <v>2887</v>
      </c>
      <c r="D17" s="119">
        <f t="shared" si="0"/>
        <v>2727</v>
      </c>
      <c r="E17" s="120">
        <f t="shared" si="0"/>
        <v>3333</v>
      </c>
      <c r="F17" s="121">
        <f t="shared" si="0"/>
        <v>391</v>
      </c>
      <c r="G17" s="121">
        <f t="shared" si="0"/>
        <v>315</v>
      </c>
      <c r="H17" s="119">
        <f t="shared" si="0"/>
        <v>477</v>
      </c>
      <c r="I17" s="119">
        <f t="shared" si="0"/>
        <v>455</v>
      </c>
      <c r="J17" s="119">
        <f t="shared" si="0"/>
        <v>383</v>
      </c>
      <c r="K17" s="122">
        <f t="shared" si="0"/>
        <v>272</v>
      </c>
      <c r="L17" s="122">
        <f t="shared" si="0"/>
        <v>461</v>
      </c>
      <c r="M17" s="122">
        <f t="shared" si="0"/>
        <v>0</v>
      </c>
      <c r="N17" s="123">
        <f>SUM(B17:M17)</f>
        <v>16811</v>
      </c>
    </row>
    <row r="78" spans="1:1" x14ac:dyDescent="0.3">
      <c r="A78" t="s">
        <v>59</v>
      </c>
    </row>
  </sheetData>
  <mergeCells count="3">
    <mergeCell ref="A4:A5"/>
    <mergeCell ref="C11:C16"/>
    <mergeCell ref="A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المخزون الكلي</vt:lpstr>
      <vt:lpstr>المخوزن الفعلي</vt:lpstr>
      <vt:lpstr>الالتزامات</vt:lpstr>
      <vt:lpstr>خطة السداد</vt:lpstr>
      <vt:lpstr>الكميات التي تم تصنيعها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AlYousef</dc:creator>
  <cp:lastModifiedBy>dell lp</cp:lastModifiedBy>
  <cp:lastPrinted>2026-04-08T09:58:32Z</cp:lastPrinted>
  <dcterms:created xsi:type="dcterms:W3CDTF">2024-08-14T11:31:08Z</dcterms:created>
  <dcterms:modified xsi:type="dcterms:W3CDTF">2026-09-19T14:54:39Z</dcterms:modified>
</cp:coreProperties>
</file>